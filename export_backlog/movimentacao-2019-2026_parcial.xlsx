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tny\Dev\beancount-main\beancount-main\export copy\"/>
    </mc:Choice>
  </mc:AlternateContent>
  <xr:revisionPtr revIDLastSave="0" documentId="13_ncr:1_{C7F10E0B-24EB-4643-9176-F2199610DD3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ovimentação" sheetId="1" r:id="rId1"/>
    <sheet name="Sheet2" sheetId="2" r:id="rId2"/>
  </sheets>
  <definedNames>
    <definedName name="_xlnm._FilterDatabase" localSheetId="0" hidden="1">Movimentação!$A$1:$I$1646</definedName>
    <definedName name="_xlnm._FilterDatabase" localSheetId="1" hidden="1">Sheet2!$A$1:$B$34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34" i="2" l="1"/>
  <c r="N34" i="2" s="1"/>
  <c r="B34" i="2"/>
  <c r="D33" i="2"/>
  <c r="N33" i="2" s="1"/>
  <c r="B33" i="2"/>
  <c r="D32" i="2"/>
  <c r="N32" i="2" s="1"/>
  <c r="B32" i="2"/>
  <c r="D31" i="2"/>
  <c r="G31" i="2" s="1"/>
  <c r="B31" i="2"/>
  <c r="D30" i="2"/>
  <c r="N30" i="2" s="1"/>
  <c r="B30" i="2"/>
  <c r="D29" i="2"/>
  <c r="I29" i="2" s="1"/>
  <c r="B29" i="2"/>
  <c r="D28" i="2"/>
  <c r="N28" i="2" s="1"/>
  <c r="B28" i="2"/>
  <c r="D27" i="2"/>
  <c r="K27" i="2" s="1"/>
  <c r="B27" i="2"/>
  <c r="D26" i="2"/>
  <c r="K26" i="2" s="1"/>
  <c r="B26" i="2"/>
  <c r="D25" i="2"/>
  <c r="M25" i="2" s="1"/>
  <c r="B25" i="2"/>
  <c r="D24" i="2"/>
  <c r="N24" i="2" s="1"/>
  <c r="B24" i="2"/>
  <c r="D23" i="2"/>
  <c r="L23" i="2" s="1"/>
  <c r="B23" i="2"/>
  <c r="D22" i="2"/>
  <c r="F22" i="2" s="1"/>
  <c r="B22" i="2"/>
  <c r="D21" i="2"/>
  <c r="N21" i="2" s="1"/>
  <c r="B21" i="2"/>
  <c r="D20" i="2"/>
  <c r="H20" i="2" s="1"/>
  <c r="B20" i="2"/>
  <c r="D19" i="2"/>
  <c r="N19" i="2" s="1"/>
  <c r="B19" i="2"/>
  <c r="D18" i="2"/>
  <c r="J18" i="2" s="1"/>
  <c r="B18" i="2"/>
  <c r="D17" i="2"/>
  <c r="F17" i="2" s="1"/>
  <c r="B17" i="2"/>
  <c r="D16" i="2"/>
  <c r="L16" i="2" s="1"/>
  <c r="B16" i="2"/>
  <c r="D15" i="2"/>
  <c r="N15" i="2" s="1"/>
  <c r="B15" i="2"/>
  <c r="D14" i="2"/>
  <c r="N14" i="2" s="1"/>
  <c r="B14" i="2"/>
  <c r="D13" i="2"/>
  <c r="N13" i="2" s="1"/>
  <c r="B13" i="2"/>
  <c r="D12" i="2"/>
  <c r="M12" i="2" s="1"/>
  <c r="B12" i="2"/>
  <c r="D11" i="2"/>
  <c r="G11" i="2" s="1"/>
  <c r="B11" i="2"/>
  <c r="D10" i="2"/>
  <c r="L10" i="2" s="1"/>
  <c r="B10" i="2"/>
  <c r="D9" i="2"/>
  <c r="F9" i="2" s="1"/>
  <c r="B9" i="2"/>
  <c r="D8" i="2"/>
  <c r="N8" i="2" s="1"/>
  <c r="B8" i="2"/>
  <c r="D7" i="2"/>
  <c r="K7" i="2" s="1"/>
  <c r="B7" i="2"/>
  <c r="D6" i="2"/>
  <c r="M6" i="2" s="1"/>
  <c r="B6" i="2"/>
  <c r="D5" i="2"/>
  <c r="M5" i="2" s="1"/>
  <c r="B5" i="2"/>
  <c r="D4" i="2"/>
  <c r="N4" i="2" s="1"/>
  <c r="B4" i="2"/>
  <c r="D3" i="2"/>
  <c r="L3" i="2" s="1"/>
  <c r="B3" i="2"/>
  <c r="G12" i="2" l="1"/>
  <c r="I12" i="2"/>
  <c r="J12" i="2"/>
  <c r="K12" i="2"/>
  <c r="N12" i="2"/>
  <c r="M19" i="2"/>
  <c r="H29" i="2"/>
  <c r="F30" i="2"/>
  <c r="I30" i="2"/>
  <c r="J30" i="2"/>
  <c r="M29" i="2"/>
  <c r="M26" i="2"/>
  <c r="N26" i="2"/>
  <c r="G29" i="2"/>
  <c r="N29" i="2"/>
  <c r="K13" i="2"/>
  <c r="M23" i="2"/>
  <c r="I23" i="2"/>
  <c r="M3" i="2"/>
  <c r="L25" i="2"/>
  <c r="L30" i="2"/>
  <c r="N23" i="2"/>
  <c r="N3" i="2"/>
  <c r="H12" i="2"/>
  <c r="K19" i="2"/>
  <c r="G23" i="2"/>
  <c r="L6" i="2"/>
  <c r="J26" i="2"/>
  <c r="H30" i="2"/>
  <c r="L14" i="2"/>
  <c r="M14" i="2"/>
  <c r="L26" i="2"/>
  <c r="F20" i="2"/>
  <c r="I27" i="2"/>
  <c r="F31" i="2"/>
  <c r="G20" i="2"/>
  <c r="J27" i="2"/>
  <c r="K31" i="2"/>
  <c r="F6" i="2"/>
  <c r="J9" i="2"/>
  <c r="F13" i="2"/>
  <c r="F16" i="2"/>
  <c r="I20" i="2"/>
  <c r="H24" i="2"/>
  <c r="H6" i="2"/>
  <c r="L9" i="2"/>
  <c r="H13" i="2"/>
  <c r="K16" i="2"/>
  <c r="M20" i="2"/>
  <c r="F32" i="2"/>
  <c r="I6" i="2"/>
  <c r="M9" i="2"/>
  <c r="I13" i="2"/>
  <c r="M16" i="2"/>
  <c r="N20" i="2"/>
  <c r="G32" i="2"/>
  <c r="G9" i="2"/>
  <c r="I9" i="2"/>
  <c r="G6" i="2"/>
  <c r="K9" i="2"/>
  <c r="G13" i="2"/>
  <c r="J16" i="2"/>
  <c r="L20" i="2"/>
  <c r="I24" i="2"/>
  <c r="J6" i="2"/>
  <c r="N9" i="2"/>
  <c r="J13" i="2"/>
  <c r="K25" i="2"/>
  <c r="F29" i="2"/>
  <c r="H32" i="2"/>
  <c r="J32" i="2"/>
  <c r="H9" i="2"/>
  <c r="N6" i="2"/>
  <c r="M13" i="2"/>
  <c r="G21" i="2"/>
  <c r="H18" i="2"/>
  <c r="J21" i="2"/>
  <c r="F26" i="2"/>
  <c r="G15" i="2"/>
  <c r="F14" i="2"/>
  <c r="I18" i="2"/>
  <c r="K21" i="2"/>
  <c r="G26" i="2"/>
  <c r="H26" i="2"/>
  <c r="F34" i="2"/>
  <c r="H15" i="2"/>
  <c r="I21" i="2"/>
  <c r="I7" i="2"/>
  <c r="J7" i="2"/>
  <c r="G14" i="2"/>
  <c r="K18" i="2"/>
  <c r="L7" i="2"/>
  <c r="F12" i="2"/>
  <c r="H14" i="2"/>
  <c r="N18" i="2"/>
  <c r="I26" i="2"/>
  <c r="H34" i="2"/>
  <c r="G22" i="2"/>
  <c r="N25" i="2"/>
  <c r="L27" i="2"/>
  <c r="J29" i="2"/>
  <c r="H31" i="2"/>
  <c r="F33" i="2"/>
  <c r="M7" i="2"/>
  <c r="N16" i="2"/>
  <c r="L18" i="2"/>
  <c r="J20" i="2"/>
  <c r="H22" i="2"/>
  <c r="F24" i="2"/>
  <c r="M27" i="2"/>
  <c r="K29" i="2"/>
  <c r="I31" i="2"/>
  <c r="G33" i="2"/>
  <c r="I11" i="2"/>
  <c r="G4" i="2"/>
  <c r="N7" i="2"/>
  <c r="J11" i="2"/>
  <c r="F15" i="2"/>
  <c r="M18" i="2"/>
  <c r="K20" i="2"/>
  <c r="I22" i="2"/>
  <c r="G24" i="2"/>
  <c r="N27" i="2"/>
  <c r="L29" i="2"/>
  <c r="J31" i="2"/>
  <c r="H33" i="2"/>
  <c r="I33" i="2"/>
  <c r="J33" i="2"/>
  <c r="N5" i="2"/>
  <c r="H11" i="2"/>
  <c r="F4" i="2"/>
  <c r="L31" i="2"/>
  <c r="J4" i="2"/>
  <c r="F8" i="2"/>
  <c r="M11" i="2"/>
  <c r="I15" i="2"/>
  <c r="G17" i="2"/>
  <c r="L22" i="2"/>
  <c r="J24" i="2"/>
  <c r="F28" i="2"/>
  <c r="M31" i="2"/>
  <c r="K33" i="2"/>
  <c r="N11" i="2"/>
  <c r="L13" i="2"/>
  <c r="J15" i="2"/>
  <c r="H17" i="2"/>
  <c r="F19" i="2"/>
  <c r="M22" i="2"/>
  <c r="K24" i="2"/>
  <c r="G28" i="2"/>
  <c r="N31" i="2"/>
  <c r="L33" i="2"/>
  <c r="K15" i="2"/>
  <c r="I17" i="2"/>
  <c r="G19" i="2"/>
  <c r="N22" i="2"/>
  <c r="L24" i="2"/>
  <c r="H28" i="2"/>
  <c r="M33" i="2"/>
  <c r="G8" i="2"/>
  <c r="L4" i="2"/>
  <c r="H8" i="2"/>
  <c r="F10" i="2"/>
  <c r="M4" i="2"/>
  <c r="K6" i="2"/>
  <c r="I8" i="2"/>
  <c r="G10" i="2"/>
  <c r="L15" i="2"/>
  <c r="J17" i="2"/>
  <c r="H19" i="2"/>
  <c r="F21" i="2"/>
  <c r="M24" i="2"/>
  <c r="I28" i="2"/>
  <c r="G30" i="2"/>
  <c r="M15" i="2"/>
  <c r="K17" i="2"/>
  <c r="I19" i="2"/>
  <c r="J28" i="2"/>
  <c r="K8" i="2"/>
  <c r="I10" i="2"/>
  <c r="L17" i="2"/>
  <c r="J19" i="2"/>
  <c r="H21" i="2"/>
  <c r="F23" i="2"/>
  <c r="K28" i="2"/>
  <c r="L5" i="2"/>
  <c r="F11" i="2"/>
  <c r="H4" i="2"/>
  <c r="M17" i="2"/>
  <c r="L28" i="2"/>
  <c r="M8" i="2"/>
  <c r="K10" i="2"/>
  <c r="N17" i="2"/>
  <c r="L19" i="2"/>
  <c r="H23" i="2"/>
  <c r="F25" i="2"/>
  <c r="M28" i="2"/>
  <c r="K30" i="2"/>
  <c r="I32" i="2"/>
  <c r="G34" i="2"/>
  <c r="L8" i="2"/>
  <c r="J10" i="2"/>
  <c r="H3" i="2"/>
  <c r="F5" i="2"/>
  <c r="I3" i="2"/>
  <c r="G5" i="2"/>
  <c r="M30" i="2"/>
  <c r="K32" i="2"/>
  <c r="I34" i="2"/>
  <c r="K4" i="2"/>
  <c r="H10" i="2"/>
  <c r="M10" i="2"/>
  <c r="I14" i="2"/>
  <c r="G16" i="2"/>
  <c r="L21" i="2"/>
  <c r="J23" i="2"/>
  <c r="H25" i="2"/>
  <c r="F27" i="2"/>
  <c r="K3" i="2"/>
  <c r="I5" i="2"/>
  <c r="G7" i="2"/>
  <c r="N10" i="2"/>
  <c r="L12" i="2"/>
  <c r="J14" i="2"/>
  <c r="H16" i="2"/>
  <c r="F18" i="2"/>
  <c r="M21" i="2"/>
  <c r="K23" i="2"/>
  <c r="I25" i="2"/>
  <c r="G27" i="2"/>
  <c r="L32" i="2"/>
  <c r="J34" i="2"/>
  <c r="K11" i="2"/>
  <c r="J22" i="2"/>
  <c r="I4" i="2"/>
  <c r="L11" i="2"/>
  <c r="K22" i="2"/>
  <c r="J8" i="2"/>
  <c r="F3" i="2"/>
  <c r="G3" i="2"/>
  <c r="G25" i="2"/>
  <c r="J3" i="2"/>
  <c r="H5" i="2"/>
  <c r="F7" i="2"/>
  <c r="J5" i="2"/>
  <c r="H7" i="2"/>
  <c r="K14" i="2"/>
  <c r="I16" i="2"/>
  <c r="G18" i="2"/>
  <c r="J25" i="2"/>
  <c r="H27" i="2"/>
  <c r="M32" i="2"/>
  <c r="K34" i="2"/>
  <c r="L34" i="2"/>
  <c r="M34" i="2"/>
  <c r="K5" i="2"/>
</calcChain>
</file>

<file path=xl/sharedStrings.xml><?xml version="1.0" encoding="utf-8"?>
<sst xmlns="http://schemas.openxmlformats.org/spreadsheetml/2006/main" count="8900" uniqueCount="829">
  <si>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</si>
  <si>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</si>
  <si>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</si>
  <si>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</si>
  <si>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</si>
  <si>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</si>
  <si>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</si>
  <si>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</si>
  <si>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Debito</t>
  </si>
  <si>
    <t>05/06/2026</t>
  </si>
  <si>
    <t>RESGATE ANTECIPADO/</t>
  </si>
  <si>
    <t>CDB - CDB526CSFDK - BANCO DO BRASIL S/A</t>
  </si>
  <si>
    <t>BANCO DO BRASIL S/A</t>
  </si>
  <si>
    <t>02/06/2026</t>
  </si>
  <si>
    <t>Direitos de Subscrição - Não Exercido</t>
  </si>
  <si>
    <t>AFHI12 - AF INVEST CRI FDO. INV. IMOB - RECEBÍVEIS IMOB.</t>
  </si>
  <si>
    <t>XP INVESTIMENTOS CCTVM S/A</t>
  </si>
  <si>
    <t>-</t>
  </si>
  <si>
    <t>Credito</t>
  </si>
  <si>
    <t>01/06/2026</t>
  </si>
  <si>
    <t>Cessão de Direitos</t>
  </si>
  <si>
    <t>Cessão de Direitos - Solicitada</t>
  </si>
  <si>
    <t>APLICAÇÃO</t>
  </si>
  <si>
    <t>CDB - CDB6260FY9K</t>
  </si>
  <si>
    <t>Juros Sobre Capital Próprio</t>
  </si>
  <si>
    <t>ITUB3 - ITAU UNIBANCO HOLDING S.A</t>
  </si>
  <si>
    <t>PMLL12 - GENIAL MALLS FUNDO DE INVESTIMENTO IMOBILIARIO</t>
  </si>
  <si>
    <t>29/05/2026</t>
  </si>
  <si>
    <t>Direito de Subscrição</t>
  </si>
  <si>
    <t>HGRU12 - PATRIA RENDA URBANA - FUNDO DE INVESTIMENTO IMOBILIARIO - RE</t>
  </si>
  <si>
    <t>28/05/2026</t>
  </si>
  <si>
    <t>Atualização</t>
  </si>
  <si>
    <t>PETR4 - PETROLEO BRASILEIRO S/A PETROBRAS</t>
  </si>
  <si>
    <t>27/05/2026</t>
  </si>
  <si>
    <t>CDB - CDB526CSFDK</t>
  </si>
  <si>
    <t>Dividendo</t>
  </si>
  <si>
    <t>LEVE3 - MAHLE-METAL LEVE S.A.</t>
  </si>
  <si>
    <t>TAEE11 - TRANSMISSORA ALIANCA DE ENERGIA ELETRICA S/A</t>
  </si>
  <si>
    <t>25/05/2026</t>
  </si>
  <si>
    <t>BBSE3 - BB SEGURIDADE PARTICIPACOES S.A.</t>
  </si>
  <si>
    <t>22/05/2026</t>
  </si>
  <si>
    <t>Rendimento</t>
  </si>
  <si>
    <t>AFHI11 - AF INVEST CRI FDO. INV. IMOB - RECEBÍVEIS IMOB.</t>
  </si>
  <si>
    <t>20/05/2026</t>
  </si>
  <si>
    <t>EGIE3 - ENGIE BRASIL ENERGIA S.A.</t>
  </si>
  <si>
    <t>19/05/2026</t>
  </si>
  <si>
    <t>18/05/2026</t>
  </si>
  <si>
    <t>PCIP11 - FDO INV. IMOB. VBI CRI</t>
  </si>
  <si>
    <t>15/05/2026</t>
  </si>
  <si>
    <t>CXSE3 - CAIXA SEGURIDADE PARTICIPACOES S/A</t>
  </si>
  <si>
    <t>HGLG11 - PÁTRIA LOG - FDO INV IMOB - RESPONSABILIDADE LTDA.</t>
  </si>
  <si>
    <t>HGRU11 - PATRIA RENDA URBANA - FUNDO DE INVESTIMENTO IMOBILIARIO - RE</t>
  </si>
  <si>
    <t>PMLL11 - GENIAL MALLS FUNDO DE INVESTIMENTO IMOBILIARIO</t>
  </si>
  <si>
    <t>08/05/2026</t>
  </si>
  <si>
    <t>LVBI11 - FII LVBI VBI</t>
  </si>
  <si>
    <t>MGLU3 - MAGAZINE LUIZA S.A.</t>
  </si>
  <si>
    <t>05/05/2026</t>
  </si>
  <si>
    <t>FLRY3 - FLEURY S.A.</t>
  </si>
  <si>
    <t>04/05/2026</t>
  </si>
  <si>
    <t>23/04/2026</t>
  </si>
  <si>
    <t>16/04/2026</t>
  </si>
  <si>
    <t>15/04/2026</t>
  </si>
  <si>
    <t>13/04/2026</t>
  </si>
  <si>
    <t>B3SA3 - B3 S.A. - BRASIL, BOLSA, BALCÃO</t>
  </si>
  <si>
    <t>08/04/2026</t>
  </si>
  <si>
    <t>01/04/2026</t>
  </si>
  <si>
    <t>25/03/2026</t>
  </si>
  <si>
    <t>Leilão de Fração</t>
  </si>
  <si>
    <t>20/03/2026</t>
  </si>
  <si>
    <t>17/03/2026</t>
  </si>
  <si>
    <t>HYPE1 - HYPERA S.A.</t>
  </si>
  <si>
    <t>16/03/2026</t>
  </si>
  <si>
    <t>13/03/2026</t>
  </si>
  <si>
    <t>10/03/2026</t>
  </si>
  <si>
    <t>06/03/2026</t>
  </si>
  <si>
    <t>04/03/2026</t>
  </si>
  <si>
    <t>VALE3 - VALE S.A.</t>
  </si>
  <si>
    <t>02/03/2026</t>
  </si>
  <si>
    <t>HGLG12 - PÁTRIA LOG - FDO INV IMOB - RESPONSABILIDADE LTDA.</t>
  </si>
  <si>
    <t>27/02/2026</t>
  </si>
  <si>
    <t>25/02/2026</t>
  </si>
  <si>
    <t>Transferência - Liquidação</t>
  </si>
  <si>
    <t>24/02/2026</t>
  </si>
  <si>
    <t>20/02/2026</t>
  </si>
  <si>
    <t>19/02/2026</t>
  </si>
  <si>
    <t>18/02/2026</t>
  </si>
  <si>
    <t>PAGAMENTO DE JUROS</t>
  </si>
  <si>
    <t>CRI - 22B0004808 - RIZA SECURITIZADORA S.A.</t>
  </si>
  <si>
    <t>INTER DISTRIBUIDORA DE TITULOS E VALORES MOBILIARIOS LTDA</t>
  </si>
  <si>
    <t>13/02/2026</t>
  </si>
  <si>
    <t>12/02/2026</t>
  </si>
  <si>
    <t>10/02/2026</t>
  </si>
  <si>
    <t>09/02/2026</t>
  </si>
  <si>
    <t>Fração em Ativos</t>
  </si>
  <si>
    <t>06/02/2026</t>
  </si>
  <si>
    <t>03/02/2026</t>
  </si>
  <si>
    <t>02/02/2026</t>
  </si>
  <si>
    <t>28/01/2026</t>
  </si>
  <si>
    <t>Compra</t>
  </si>
  <si>
    <t>Tesouro IPCA+ 2050</t>
  </si>
  <si>
    <t>27/01/2026</t>
  </si>
  <si>
    <t>22/01/2026</t>
  </si>
  <si>
    <t>16/01/2026</t>
  </si>
  <si>
    <t>15/01/2026</t>
  </si>
  <si>
    <t>14/01/2026</t>
  </si>
  <si>
    <t>IRIM15 - IRIDIUM FUNDO DE INVESTIMENTO IMOBILIÁRIO</t>
  </si>
  <si>
    <t>12/01/2026</t>
  </si>
  <si>
    <t>BBAS3 - BANCO DO BRASIL S/A</t>
  </si>
  <si>
    <t>08/01/2026</t>
  </si>
  <si>
    <t>07/01/2026</t>
  </si>
  <si>
    <t>02/01/2026</t>
  </si>
  <si>
    <t>Bonificação em Ativos</t>
  </si>
  <si>
    <t>30/12/2025</t>
  </si>
  <si>
    <t>IRIM11 - IRIDIUM FUNDO DE INVESTIMENTO IMOBILIÁRIO</t>
  </si>
  <si>
    <t>MCCI11 - FDO INV. MAUA CAPITAL RECEBIVEIS IMOB. - FII</t>
  </si>
  <si>
    <t>29/12/2025</t>
  </si>
  <si>
    <t>26/12/2025</t>
  </si>
  <si>
    <t>COMPRA / VENDA</t>
  </si>
  <si>
    <t>CDB - CDB3257NOQI - BANCO BMG S/A</t>
  </si>
  <si>
    <t>COMPRA/VENDA</t>
  </si>
  <si>
    <t>23/12/2025</t>
  </si>
  <si>
    <t>22/12/2025</t>
  </si>
  <si>
    <t>19/12/2025</t>
  </si>
  <si>
    <t>ITUB3 - ITAU UNIBANCO HOLDING S/A</t>
  </si>
  <si>
    <t>18/12/2025</t>
  </si>
  <si>
    <t>17/12/2025</t>
  </si>
  <si>
    <t>HYPE3 - HYPERA S.A.</t>
  </si>
  <si>
    <t>16/12/2025</t>
  </si>
  <si>
    <t>12/12/2025</t>
  </si>
  <si>
    <t>WEGE3 - WEG S.A.</t>
  </si>
  <si>
    <t>11/12/2025</t>
  </si>
  <si>
    <t>09/12/2025</t>
  </si>
  <si>
    <t>Resgate</t>
  </si>
  <si>
    <t>IRDM11 - FII IRIDIUM RECEBÍVEIS IMOBILIÁRIOS</t>
  </si>
  <si>
    <t>03/12/2025</t>
  </si>
  <si>
    <t>01/12/2025</t>
  </si>
  <si>
    <t>28/11/2025</t>
  </si>
  <si>
    <t>27/11/2025</t>
  </si>
  <si>
    <t>21/11/2025</t>
  </si>
  <si>
    <t>19/11/2025</t>
  </si>
  <si>
    <t>18/11/2025</t>
  </si>
  <si>
    <t>14/11/2025</t>
  </si>
  <si>
    <t>03/11/2025</t>
  </si>
  <si>
    <t>22/10/2025</t>
  </si>
  <si>
    <t>17/10/2025</t>
  </si>
  <si>
    <t>16/10/2025</t>
  </si>
  <si>
    <t>14/10/2025</t>
  </si>
  <si>
    <t>13/10/2025</t>
  </si>
  <si>
    <t>07/10/2025</t>
  </si>
  <si>
    <t>03/10/2025</t>
  </si>
  <si>
    <t>01/10/2025</t>
  </si>
  <si>
    <t>30/09/2025</t>
  </si>
  <si>
    <t>ETER3 - ETERNIT S.A.</t>
  </si>
  <si>
    <t>22/09/2025</t>
  </si>
  <si>
    <t>PETR4 - PETROLEO BRASILEIRO S/A - PETROBRAS</t>
  </si>
  <si>
    <t>17/09/2025</t>
  </si>
  <si>
    <t>16/09/2025</t>
  </si>
  <si>
    <t>12/09/2025</t>
  </si>
  <si>
    <t>09/09/2025</t>
  </si>
  <si>
    <t>03/09/2025</t>
  </si>
  <si>
    <t>01/09/2025</t>
  </si>
  <si>
    <t>29/08/2025</t>
  </si>
  <si>
    <t>28/08/2025</t>
  </si>
  <si>
    <t>IRDM12 - FII IRIDIUM RECEBÍVEIS IMOBILIÁRIOS</t>
  </si>
  <si>
    <t>27/08/2025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</si>
  <si>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</si>
  <si>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</si>
  <si>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</si>
  <si>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</si>
  <si>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</si>
  <si>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</si>
  <si>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</si>
  <si>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MGLU3 - MAGAZINE LUIZA S/A</t>
  </si>
  <si>
    <t>01/08/2025</t>
  </si>
  <si>
    <t>29/07/2025</t>
  </si>
  <si>
    <t>23/07/2025</t>
  </si>
  <si>
    <t>17/07/2025</t>
  </si>
  <si>
    <t>16/07/2025</t>
  </si>
  <si>
    <t>14/07/2025</t>
  </si>
  <si>
    <t>MALL11 - GENIAL MALLS FUNDO DE INVESTIMENTO IMOBILIARIO</t>
  </si>
  <si>
    <t>07/07/2025</t>
  </si>
  <si>
    <t>01/07/2025</t>
  </si>
  <si>
    <t>20/06/2025</t>
  </si>
  <si>
    <t>18/06/2025</t>
  </si>
  <si>
    <t>17/06/2025</t>
  </si>
  <si>
    <t>13/06/2025</t>
  </si>
  <si>
    <t>MALL11 - GENIAL MALLS FUNDO DE INVESTIMENTO IMOBILIÁRIO</t>
  </si>
  <si>
    <t>12/06/2025</t>
  </si>
  <si>
    <t>02/06/2025</t>
  </si>
  <si>
    <t>29/05/2025</t>
  </si>
  <si>
    <t>28/05/2025</t>
  </si>
  <si>
    <t>27/05/2025</t>
  </si>
  <si>
    <t>20/05/2025</t>
  </si>
  <si>
    <t>19/05/2025</t>
  </si>
  <si>
    <t>16/05/2025</t>
  </si>
  <si>
    <t>15/05/2025</t>
  </si>
  <si>
    <t>09/05/2025</t>
  </si>
  <si>
    <t>05/05/2025</t>
  </si>
  <si>
    <t>02/05/2025</t>
  </si>
  <si>
    <t>17/04/2025</t>
  </si>
  <si>
    <t>16/04/2025</t>
  </si>
  <si>
    <t>14/04/2025</t>
  </si>
  <si>
    <t>07/04/2025</t>
  </si>
  <si>
    <t>01/04/2025</t>
  </si>
  <si>
    <t>31/03/2025</t>
  </si>
  <si>
    <t>21/03/2025</t>
  </si>
  <si>
    <t>20/03/2025</t>
  </si>
  <si>
    <t>19/03/2025</t>
  </si>
  <si>
    <t>18/03/2025</t>
  </si>
  <si>
    <t>17/03/2025</t>
  </si>
  <si>
    <t>14/03/2025</t>
  </si>
  <si>
    <t>12/03/2025</t>
  </si>
  <si>
    <t>07/03/2025</t>
  </si>
  <si>
    <t>06/03/2025</t>
  </si>
  <si>
    <t>20/02/2025</t>
  </si>
  <si>
    <t>XP INVESTIMENTOS CORRETORA DE CAMBIO, TITULOS E VALORES MOBI</t>
  </si>
  <si>
    <t>19/02/2025</t>
  </si>
  <si>
    <t>18/02/2025</t>
  </si>
  <si>
    <t>14/02/2025</t>
  </si>
  <si>
    <t>Transferência</t>
  </si>
  <si>
    <t>Dividendo - Transferido</t>
  </si>
  <si>
    <t>Juros Sobre Capital Próprio - Transferido</t>
  </si>
  <si>
    <t>HGRU11 - PÁTRIA RENDA URBANA - FII - RESPONSABILIDADE LTDA.</t>
  </si>
  <si>
    <t>HYPE3 - HYPERA S/A</t>
  </si>
  <si>
    <t>Rendimento - Transferido</t>
  </si>
  <si>
    <t>Transferencia</t>
  </si>
  <si>
    <t>Tesouro IPCA+ 2045</t>
  </si>
  <si>
    <t>Tesouro Prefixado 2029</t>
  </si>
  <si>
    <t>Tesouro Prefixado 2031</t>
  </si>
  <si>
    <t>07/02/2025</t>
  </si>
  <si>
    <t>03/02/2025</t>
  </si>
  <si>
    <t>31/01/2025</t>
  </si>
  <si>
    <t>29/01/2025</t>
  </si>
  <si>
    <t>20/01/2025</t>
  </si>
  <si>
    <t>17/01/2025</t>
  </si>
  <si>
    <t>15/01/2025</t>
  </si>
  <si>
    <t>08/01/2025</t>
  </si>
  <si>
    <t>XP INVESTIMENTOS CORRETORA DE CAMBIO TITULOS E VALORES MOBILIARIOS S/A</t>
  </si>
  <si>
    <t>02/01/2025</t>
  </si>
  <si>
    <t>27/12/2024</t>
  </si>
  <si>
    <t>26/12/2024</t>
  </si>
  <si>
    <t>MALL12 - GENIAL MALLS FUNDO DE INVESTIMENTO IMOBILIÁRIO</t>
  </si>
  <si>
    <t>23/12/2024</t>
  </si>
  <si>
    <t>20/12/2024</t>
  </si>
  <si>
    <t>18/12/2024</t>
  </si>
  <si>
    <t>17/12/2024</t>
  </si>
  <si>
    <t>13/12/2024</t>
  </si>
  <si>
    <t>11/12/2024</t>
  </si>
  <si>
    <t>06/12/2024</t>
  </si>
  <si>
    <t>02/12/2024</t>
  </si>
  <si>
    <t>27/11/2024</t>
  </si>
  <si>
    <t>21/11/2024</t>
  </si>
  <si>
    <t>19/11/2024</t>
  </si>
  <si>
    <t>14/11/2024</t>
  </si>
  <si>
    <t>01/11/2024</t>
  </si>
  <si>
    <t>17/10/2024</t>
  </si>
  <si>
    <t>16/10/2024</t>
  </si>
  <si>
    <t>14/10/2024</t>
  </si>
  <si>
    <t>07/10/2024</t>
  </si>
  <si>
    <t>02/10/2024</t>
  </si>
  <si>
    <t>01/10/2024</t>
  </si>
  <si>
    <t>30/09/2024</t>
  </si>
  <si>
    <t>27/09/2024</t>
  </si>
  <si>
    <t>20/09/2024</t>
  </si>
  <si>
    <t>18/09/2024</t>
  </si>
  <si>
    <t>17/09/2024</t>
  </si>
  <si>
    <t>13/09/2024</t>
  </si>
  <si>
    <t>04/09/2024</t>
  </si>
  <si>
    <t>02/09/2024</t>
  </si>
  <si>
    <t>30/08/2024</t>
  </si>
  <si>
    <t>20/08/2024</t>
  </si>
  <si>
    <t>19/08/2024</t>
  </si>
  <si>
    <t>CLEAR CORRETORA - GRUPO XP</t>
  </si>
  <si>
    <t>16/08/2024</t>
  </si>
  <si>
    <t>14/08/2024</t>
  </si>
  <si>
    <t>13/08/2024</t>
  </si>
  <si>
    <t>HGRU12 - PÁTRIA RENDA URBANA - FII - RESPONSABILIDADE LTDA.</t>
  </si>
  <si>
    <t>12/08/2024</t>
  </si>
  <si>
    <t>01/08/2024</t>
  </si>
  <si>
    <t>30/07/2024</t>
  </si>
  <si>
    <t>26/07/2024</t>
  </si>
  <si>
    <t>17/07/2024</t>
  </si>
  <si>
    <t>16/07/2024</t>
  </si>
  <si>
    <t>12/07/2024</t>
  </si>
  <si>
    <t>HGLG11 - CSHG LOGÍSTICA FDO INV IMOB - FII</t>
  </si>
  <si>
    <t>05/07/2024</t>
  </si>
  <si>
    <t>01/07/2024</t>
  </si>
  <si>
    <t>Cobrança de Taxa Semestral</t>
  </si>
  <si>
    <t>28/06/2024</t>
  </si>
  <si>
    <t>BBDC3 - BANCO BRADESCO S/A</t>
  </si>
  <si>
    <t>27/06/2024</t>
  </si>
  <si>
    <t>21/06/2024</t>
  </si>
  <si>
    <t>20/06/2024</t>
  </si>
  <si>
    <t>19/06/2024</t>
  </si>
  <si>
    <t>18/06/2024</t>
  </si>
  <si>
    <t>14/06/2024</t>
  </si>
  <si>
    <t>HGRU11 - CSHG RENDA URBANA - FUNDO DE INVESTIMENTO IMOBILIARIO - FII</t>
  </si>
  <si>
    <t>MALL11 - MALLS BRASIL PLURAL FDO INV IMOB</t>
  </si>
  <si>
    <t>03/06/2024</t>
  </si>
  <si>
    <t>29/05/2024</t>
  </si>
  <si>
    <t>28/05/2024</t>
  </si>
  <si>
    <t>Grupamento</t>
  </si>
  <si>
    <t>20/05/2024</t>
  </si>
  <si>
    <t>17/05/2024</t>
  </si>
  <si>
    <t>16/05/2024</t>
  </si>
  <si>
    <t>15/05/2024</t>
  </si>
  <si>
    <t>13/05/2024</t>
  </si>
  <si>
    <t>02/05/2024</t>
  </si>
  <si>
    <t>17/04/2024</t>
  </si>
  <si>
    <t>Desdobro</t>
  </si>
  <si>
    <t>16/04/2024</t>
  </si>
  <si>
    <t>12/04/2024</t>
  </si>
  <si>
    <t>05/04/2024</t>
  </si>
  <si>
    <t>01/04/2024</t>
  </si>
  <si>
    <t>28/03/2024</t>
  </si>
  <si>
    <t>27/03/2024</t>
  </si>
  <si>
    <t>20/03/2024</t>
  </si>
  <si>
    <t>19/03/2024</t>
  </si>
  <si>
    <t>VALE3 - VALE S/A</t>
  </si>
  <si>
    <t>18/03/2024</t>
  </si>
  <si>
    <t>14/03/2024</t>
  </si>
  <si>
    <t>13/03/2024</t>
  </si>
  <si>
    <t>07/03/2024</t>
  </si>
  <si>
    <t>01/03/2024</t>
  </si>
  <si>
    <t>MGLU1 - MAGAZINE LUIZA S/A</t>
  </si>
  <si>
    <t>29/02/2024</t>
  </si>
  <si>
    <t>23/02/2024</t>
  </si>
  <si>
    <t>21/02/2024</t>
  </si>
  <si>
    <t>MCCI11 - MAUA CAPITAL RE DEBT I FIM CP IE</t>
  </si>
  <si>
    <t>RBRP11 - FII RBR PROP</t>
  </si>
  <si>
    <t>20/02/2024</t>
  </si>
  <si>
    <t>IRDM11 - FII IRIDIUM RECEBIVEIS IMOBILIARIOS</t>
  </si>
  <si>
    <t>16/02/2024</t>
  </si>
  <si>
    <t>02/02/2024</t>
  </si>
  <si>
    <t>01/02/2024</t>
  </si>
  <si>
    <t>18/01/2024</t>
  </si>
  <si>
    <t>17/01/2024</t>
  </si>
  <si>
    <t>16/01/2024</t>
  </si>
  <si>
    <t>15/01/2024</t>
  </si>
  <si>
    <t>10/01/2024</t>
  </si>
  <si>
    <t>08/01/2024</t>
  </si>
  <si>
    <t>02/01/2024</t>
  </si>
  <si>
    <t>01/01/2024</t>
  </si>
  <si>
    <t>28/12/2023</t>
  </si>
  <si>
    <t>27/12/2023</t>
  </si>
  <si>
    <t>19/12/2023</t>
  </si>
  <si>
    <t>18/12/2023</t>
  </si>
  <si>
    <t>15/12/2023</t>
  </si>
  <si>
    <t>14/12/2023</t>
  </si>
  <si>
    <t>05/12/2023</t>
  </si>
  <si>
    <t>MDIA3 - M.DIAS BRANCO S.A. IND COM DE ALIMENTOS</t>
  </si>
  <si>
    <t>01/12/2023</t>
  </si>
  <si>
    <t>30/11/2023</t>
  </si>
  <si>
    <t>21/11/2023</t>
  </si>
  <si>
    <t>20/11/2023</t>
  </si>
  <si>
    <t>16/11/2023</t>
  </si>
  <si>
    <t>10/11/2023</t>
  </si>
  <si>
    <t>01/11/2023</t>
  </si>
  <si>
    <t>31/10/2023</t>
  </si>
  <si>
    <t>25/10/2023</t>
  </si>
  <si>
    <t>MALL12 - MALLS BRASIL PLURAL FDO INV IMOB</t>
  </si>
  <si>
    <t>XPBR31 - XP INC.</t>
  </si>
  <si>
    <t>24/10/2023</t>
  </si>
  <si>
    <t>19/10/2023</t>
  </si>
  <si>
    <t>18/10/2023</t>
  </si>
  <si>
    <t>16/10/2023</t>
  </si>
  <si>
    <t>11/10/2023</t>
  </si>
  <si>
    <t>09/10/2023</t>
  </si>
  <si>
    <t>MODAL DTVM LTDA</t>
  </si>
  <si>
    <t>06/10/2023</t>
  </si>
  <si>
    <t>02/10/2023</t>
  </si>
  <si>
    <t>29/09/2023</t>
  </si>
  <si>
    <t>26/09/2023</t>
  </si>
  <si>
    <t>20/09/2023</t>
  </si>
  <si>
    <t>19/09/2023</t>
  </si>
  <si>
    <t>15/09/2023</t>
  </si>
  <si>
    <t>01/09/2023</t>
  </si>
  <si>
    <t>30/08/2023</t>
  </si>
  <si>
    <t>29/08/2023</t>
  </si>
  <si>
    <t>18/08/2023</t>
  </si>
  <si>
    <t>17/08/2023</t>
  </si>
  <si>
    <t>16/08/2023</t>
  </si>
  <si>
    <t>14/08/2023</t>
  </si>
  <si>
    <t>01/08/2023</t>
  </si>
  <si>
    <t>26/07/2023</t>
  </si>
  <si>
    <t>19/07/2023</t>
  </si>
  <si>
    <t>18/07/2023</t>
  </si>
  <si>
    <t>14/07/2023</t>
  </si>
  <si>
    <t>07/07/2023</t>
  </si>
  <si>
    <t>06/07/2023</t>
  </si>
  <si>
    <t>03/07/2023</t>
  </si>
  <si>
    <t>30/06/2023</t>
  </si>
  <si>
    <t>29/06/2023</t>
  </si>
  <si>
    <t>ENBR3 - EDP ENERGIAS DO BRASIL S/A</t>
  </si>
  <si>
    <t>27/06/2023</t>
  </si>
  <si>
    <t>22/06/2023</t>
  </si>
  <si>
    <t>20/06/2023</t>
  </si>
  <si>
    <t>19/06/2023</t>
  </si>
  <si>
    <t>16/06/2023</t>
  </si>
  <si>
    <t>15/06/2023</t>
  </si>
  <si>
    <t>14/06/2023</t>
  </si>
  <si>
    <t>12/06/2023</t>
  </si>
  <si>
    <t>05/06/2023</t>
  </si>
  <si>
    <t>02/06/2023</t>
  </si>
  <si>
    <t>HGLG12 - CSHG LOGÍSTICA FDO INV IMOB - FII</t>
  </si>
  <si>
    <t>01/06/2023</t>
  </si>
  <si>
    <t>31/05/2023</t>
  </si>
  <si>
    <t>26/05/2023</t>
  </si>
  <si>
    <t>24/05/2023</t>
  </si>
  <si>
    <t>22/05/2023</t>
  </si>
  <si>
    <t>19/05/2023</t>
  </si>
  <si>
    <t>18/05/2023</t>
  </si>
  <si>
    <t>17/05/2023</t>
  </si>
  <si>
    <t>15/05/2023</t>
  </si>
  <si>
    <t>02/05/2023</t>
  </si>
  <si>
    <t>20/04/2023</t>
  </si>
  <si>
    <t>19/04/2023</t>
  </si>
  <si>
    <t>17/04/2023</t>
  </si>
  <si>
    <t>10/04/2023</t>
  </si>
  <si>
    <t>03/04/2023</t>
  </si>
  <si>
    <t>31/03/2023</t>
  </si>
  <si>
    <t>22/03/2023</t>
  </si>
  <si>
    <t>17/03/2023</t>
  </si>
  <si>
    <t>16/03/2023</t>
  </si>
  <si>
    <t>15/03/2023</t>
  </si>
  <si>
    <t>14/03/2023</t>
  </si>
  <si>
    <t>08/03/2023</t>
  </si>
  <si>
    <t>03/03/2023</t>
  </si>
  <si>
    <t>01/03/2023</t>
  </si>
  <si>
    <t>17/02/2023</t>
  </si>
  <si>
    <t>16/02/2023</t>
  </si>
  <si>
    <t>14/02/2023</t>
  </si>
  <si>
    <t>01/02/2023</t>
  </si>
  <si>
    <t>26/01/2023</t>
  </si>
  <si>
    <t>23/01/2023</t>
  </si>
  <si>
    <t>19/01/2023</t>
  </si>
  <si>
    <t>18/01/2023</t>
  </si>
  <si>
    <t>17/01/2023</t>
  </si>
  <si>
    <t>13/01/2023</t>
  </si>
  <si>
    <t xml:space="preserve">B3SA3 - B3          </t>
  </si>
  <si>
    <t>12/01/2023</t>
  </si>
  <si>
    <t>02/01/2023</t>
  </si>
  <si>
    <t>29/12/2022</t>
  </si>
  <si>
    <t>20/12/2022</t>
  </si>
  <si>
    <t>19/12/2022</t>
  </si>
  <si>
    <t>16/12/2022</t>
  </si>
  <si>
    <t>14/12/2022</t>
  </si>
  <si>
    <t>12/12/2022</t>
  </si>
  <si>
    <t>05/12/2022</t>
  </si>
  <si>
    <t>01/12/2022</t>
  </si>
  <si>
    <t>30/11/2022</t>
  </si>
  <si>
    <t>21/11/2022</t>
  </si>
  <si>
    <t>FLRY1 - FLEURY S.A.</t>
  </si>
  <si>
    <t>18/11/2022</t>
  </si>
  <si>
    <t>16/11/2022</t>
  </si>
  <si>
    <t>08/11/2022</t>
  </si>
  <si>
    <t>MCCI12 - MAUA CAPITAL RE DEBT I FIM CP IE</t>
  </si>
  <si>
    <t>04/11/2022</t>
  </si>
  <si>
    <t>01/11/2022</t>
  </si>
  <si>
    <t>25/10/2022</t>
  </si>
  <si>
    <t>24/10/2022</t>
  </si>
  <si>
    <t>20/10/2022</t>
  </si>
  <si>
    <t>19/10/2022</t>
  </si>
  <si>
    <t>18/10/2022</t>
  </si>
  <si>
    <t>17/10/2022</t>
  </si>
  <si>
    <t>07/10/2022</t>
  </si>
  <si>
    <t>03/10/2022</t>
  </si>
  <si>
    <t>30/09/2022</t>
  </si>
  <si>
    <t>26/09/2022</t>
  </si>
  <si>
    <t>21/09/2022</t>
  </si>
  <si>
    <t>20/09/2022</t>
  </si>
  <si>
    <t>19/09/2022</t>
  </si>
  <si>
    <t>15/09/2022</t>
  </si>
  <si>
    <t>01/09/2022</t>
  </si>
  <si>
    <t>31/08/2022</t>
  </si>
  <si>
    <t>30/08/2022</t>
  </si>
  <si>
    <t>ITSA3 - ITAUSA S/A</t>
  </si>
  <si>
    <t>26/08/2022</t>
  </si>
  <si>
    <t>22/08/2022</t>
  </si>
  <si>
    <t>CRFB3 - ATACADÃO S.A.</t>
  </si>
  <si>
    <t>17/08/2022</t>
  </si>
  <si>
    <t>16/08/2022</t>
  </si>
  <si>
    <t>12/08/2022</t>
  </si>
  <si>
    <t>IRDM12 - FII IRIDIUM RECEBIVEIS IMOBILIARIOS</t>
  </si>
  <si>
    <t>XPLG11 - XP LOG FUNDO DE INVESTIMENTO IMOBILIARIO FII</t>
  </si>
  <si>
    <t>11/08/2022</t>
  </si>
  <si>
    <t>XPML11 - XP MALLS FDO INV IMOB FII</t>
  </si>
  <si>
    <t>01/08/2022</t>
  </si>
  <si>
    <t>28/07/2022</t>
  </si>
  <si>
    <t>25/07/2022</t>
  </si>
  <si>
    <t>20/07/2022</t>
  </si>
  <si>
    <t>19/07/2022</t>
  </si>
  <si>
    <t>18/07/2022</t>
  </si>
  <si>
    <t>14/07/2022</t>
  </si>
  <si>
    <t>12/07/2022</t>
  </si>
  <si>
    <t>08/07/2022</t>
  </si>
  <si>
    <t>01/07/2022</t>
  </si>
  <si>
    <t>30/06/2022</t>
  </si>
  <si>
    <t>29/06/2022</t>
  </si>
  <si>
    <t>28/06/2022</t>
  </si>
  <si>
    <t>24/06/2022</t>
  </si>
  <si>
    <t>20/06/2022</t>
  </si>
  <si>
    <t>17/06/2022</t>
  </si>
  <si>
    <t>14/06/2022</t>
  </si>
  <si>
    <t>03/06/2022</t>
  </si>
  <si>
    <t>01/06/2022</t>
  </si>
  <si>
    <t>31/05/2022</t>
  </si>
  <si>
    <t>30/05/2022</t>
  </si>
  <si>
    <t>AERI3 - AERIS INDUSTRIA E COMERCIO DE EQUIPAMENTOS PARA GERACAO DE ENERGIA S.A.</t>
  </si>
  <si>
    <t>HSML11 - HSI MALL FDO INV IMOB</t>
  </si>
  <si>
    <t>KNRI11 - KINEA RENDA IMOBILIÁRIA FDO INV IMOB - FII</t>
  </si>
  <si>
    <t>VILG11 - FII VINCI LG</t>
  </si>
  <si>
    <t>VISC11 - VINCI SHOPPING CENTERS FI IMOBILIÁRIO - FII</t>
  </si>
  <si>
    <t>27/05/2022</t>
  </si>
  <si>
    <t>25/05/2022</t>
  </si>
  <si>
    <t>18/05/2022</t>
  </si>
  <si>
    <t>17/05/2022</t>
  </si>
  <si>
    <t>16/05/2022</t>
  </si>
  <si>
    <t>13/05/2022</t>
  </si>
  <si>
    <t>06/05/2022</t>
  </si>
  <si>
    <t>02/05/2022</t>
  </si>
  <si>
    <t>25/04/2022</t>
  </si>
  <si>
    <t>20/04/2022</t>
  </si>
  <si>
    <t>19/04/2022</t>
  </si>
  <si>
    <t>14/04/2022</t>
  </si>
  <si>
    <t>13/04/2022</t>
  </si>
  <si>
    <t>08/04/2022</t>
  </si>
  <si>
    <t>07/04/2022</t>
  </si>
  <si>
    <t>06/04/2022</t>
  </si>
  <si>
    <t>04/04/2022</t>
  </si>
  <si>
    <t>01/04/2022</t>
  </si>
  <si>
    <t>31/03/2022</t>
  </si>
  <si>
    <t>25/03/2022</t>
  </si>
  <si>
    <t>18/03/2022</t>
  </si>
  <si>
    <t>17/03/2022</t>
  </si>
  <si>
    <t>16/03/2022</t>
  </si>
  <si>
    <t>15/03/2022</t>
  </si>
  <si>
    <t>11/03/2022</t>
  </si>
  <si>
    <t>08/03/2022</t>
  </si>
  <si>
    <t>02/03/2022</t>
  </si>
  <si>
    <t>25/02/2022</t>
  </si>
  <si>
    <t>23/02/2022</t>
  </si>
  <si>
    <t>18/02/2022</t>
  </si>
  <si>
    <t>17/02/2022</t>
  </si>
  <si>
    <t>16/02/2022</t>
  </si>
  <si>
    <t>14/02/2022</t>
  </si>
  <si>
    <t>07/02/2022</t>
  </si>
  <si>
    <t>01/02/2022</t>
  </si>
  <si>
    <t>25/01/2022</t>
  </si>
  <si>
    <t>19/01/2022</t>
  </si>
  <si>
    <t>18/01/2022</t>
  </si>
  <si>
    <t>14/01/2022</t>
  </si>
  <si>
    <t>07/01/2022</t>
  </si>
  <si>
    <t>03/01/2022</t>
  </si>
  <si>
    <t>30/12/2021</t>
  </si>
  <si>
    <t>29/12/2021</t>
  </si>
  <si>
    <t>23/12/2021</t>
  </si>
  <si>
    <t>22/12/2021</t>
  </si>
  <si>
    <t>17/12/2021</t>
  </si>
  <si>
    <t>16/12/2021</t>
  </si>
  <si>
    <t>15/12/2021</t>
  </si>
  <si>
    <t>14/12/2021</t>
  </si>
  <si>
    <t>10/12/2021</t>
  </si>
  <si>
    <t>07/12/2021</t>
  </si>
  <si>
    <t>01/12/2021</t>
  </si>
  <si>
    <t>30/11/2021</t>
  </si>
  <si>
    <t>29/11/2021</t>
  </si>
  <si>
    <t>25/11/2021</t>
  </si>
  <si>
    <t>XPML13 - XP MALLS FDO INV IMOB FII</t>
  </si>
  <si>
    <t>24/11/2021</t>
  </si>
  <si>
    <t>CVCB3 - CVC BRASIL OPERADORA E AGÊNCIA DE VIAGENS S.A.</t>
  </si>
  <si>
    <t>ODPV3 - ODONTOPREV S.A.</t>
  </si>
  <si>
    <t>23/11/2021</t>
  </si>
  <si>
    <t>19/11/2021</t>
  </si>
  <si>
    <t>18/11/2021</t>
  </si>
  <si>
    <t>16/11/2021</t>
  </si>
  <si>
    <t>08/11/2021</t>
  </si>
  <si>
    <t>03/11/2021</t>
  </si>
  <si>
    <t>01/11/2021</t>
  </si>
  <si>
    <t>25/10/2021</t>
  </si>
  <si>
    <t>22/10/2021</t>
  </si>
  <si>
    <t>20/10/2021</t>
  </si>
  <si>
    <t>19/10/2021</t>
  </si>
  <si>
    <t>18/10/2021</t>
  </si>
  <si>
    <t>15/10/2021</t>
  </si>
  <si>
    <t>07/10/2021</t>
  </si>
  <si>
    <t>06/10/2021</t>
  </si>
  <si>
    <t>05/10/2021</t>
  </si>
  <si>
    <t>Cisão</t>
  </si>
  <si>
    <t>XPAR3 - XINGUARA INDUSTRIA E COMERCIO S/A</t>
  </si>
  <si>
    <t>Incorporação</t>
  </si>
  <si>
    <t>01/10/2021</t>
  </si>
  <si>
    <t>30/09/2021</t>
  </si>
  <si>
    <t>24/09/2021</t>
  </si>
  <si>
    <t>20/09/2021</t>
  </si>
  <si>
    <t>17/09/2021</t>
  </si>
  <si>
    <t>IRDM13 - FII IRIDIUM RECEBIVEIS IMOBILIARIOS</t>
  </si>
  <si>
    <t>16/09/2021</t>
  </si>
  <si>
    <t>15/09/2021</t>
  </si>
  <si>
    <t>HGLG14 - CSHG LOGÍSTICA FDO INV IMOB - FII</t>
  </si>
  <si>
    <t>08/09/2021</t>
  </si>
  <si>
    <t>02/09/2021</t>
  </si>
  <si>
    <t>01/09/2021</t>
  </si>
  <si>
    <t>26/08/2021</t>
  </si>
  <si>
    <t>25/08/2021</t>
  </si>
  <si>
    <t>24/08/2021</t>
  </si>
  <si>
    <t>VISC12 - VINCI SHOPPING CENTERS FI IMOBILIÁRIO - FII</t>
  </si>
  <si>
    <t>23/08/2021</t>
  </si>
  <si>
    <t>20/08/2021</t>
  </si>
  <si>
    <t>18/08/2021</t>
  </si>
  <si>
    <t>17/08/2021</t>
  </si>
  <si>
    <t>XPML12 - XP MALLS FDO INV IMOB FII</t>
  </si>
  <si>
    <t>Recibo de Subscrição</t>
  </si>
  <si>
    <t>16/08/2021</t>
  </si>
  <si>
    <t>Solicitação de Subscrição</t>
  </si>
  <si>
    <t>Direitos de Subscrição - Exercido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</si>
  <si>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</si>
  <si>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</si>
  <si>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</si>
  <si>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</si>
  <si>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</si>
  <si>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</si>
  <si>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</si>
  <si>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02/08/2021</t>
  </si>
  <si>
    <t>26/07/2021</t>
  </si>
  <si>
    <t>CVCB1 - CVC BRASIL OPERADORA E AGÊNCIA DE VIAGENS S.A.</t>
  </si>
  <si>
    <t>23/07/2021</t>
  </si>
  <si>
    <t>20/07/2021</t>
  </si>
  <si>
    <t>19/07/2021</t>
  </si>
  <si>
    <t>15/07/2021</t>
  </si>
  <si>
    <t>VILG11 - FII VINCILOG</t>
  </si>
  <si>
    <t>14/07/2021</t>
  </si>
  <si>
    <t>12/07/2021</t>
  </si>
  <si>
    <t>07/07/2021</t>
  </si>
  <si>
    <t>06/07/2021</t>
  </si>
  <si>
    <t>01/07/2021</t>
  </si>
  <si>
    <t>30/06/2021</t>
  </si>
  <si>
    <t>28/06/2021</t>
  </si>
  <si>
    <t>25/06/2021</t>
  </si>
  <si>
    <t>23/06/2021</t>
  </si>
  <si>
    <t>18/06/2021</t>
  </si>
  <si>
    <t>17/06/2021</t>
  </si>
  <si>
    <t>15/06/2021</t>
  </si>
  <si>
    <t>08/06/2021</t>
  </si>
  <si>
    <t>01/06/2021</t>
  </si>
  <si>
    <t>28/05/2021</t>
  </si>
  <si>
    <t>27/05/2021</t>
  </si>
  <si>
    <t>25/05/2021</t>
  </si>
  <si>
    <t>19/05/2021</t>
  </si>
  <si>
    <t>18/05/2021</t>
  </si>
  <si>
    <t>14/05/2021</t>
  </si>
  <si>
    <t>11/05/2021</t>
  </si>
  <si>
    <t>07/05/2021</t>
  </si>
  <si>
    <t>06/05/2021</t>
  </si>
  <si>
    <t>05/05/2021</t>
  </si>
  <si>
    <t>03/05/2021</t>
  </si>
  <si>
    <t>30/04/2021</t>
  </si>
  <si>
    <t>ETER3 - ETERNIT S/A</t>
  </si>
  <si>
    <t>29/04/2021</t>
  </si>
  <si>
    <t>23/04/2021</t>
  </si>
  <si>
    <t>22/04/2021</t>
  </si>
  <si>
    <t>MDIA3 - M.DIAS BRANCO S/A INDUSTRIA E COMERCIO DE ALIMENTOS</t>
  </si>
  <si>
    <t>20/04/2021</t>
  </si>
  <si>
    <t>19/04/2021</t>
  </si>
  <si>
    <t>15/04/2021</t>
  </si>
  <si>
    <t>HGLG11 - CSHG LOGISTICA FUNDO DE INVESTIMENTO IMOBILIARIO - FII</t>
  </si>
  <si>
    <t>MALL11 - MALLS BRASIL FUNDO DE INVESTIMENTO IMOBILIARIO</t>
  </si>
  <si>
    <t>13/04/2021</t>
  </si>
  <si>
    <t>08/04/2021</t>
  </si>
  <si>
    <t>B3SA3 - B3 S.A. – BRASIL, BOLSA, BALCÃO</t>
  </si>
  <si>
    <t>HSML11 - HSI MALLS FUNDO DE INVESTIMENTO IMOBILIÁRIO</t>
  </si>
  <si>
    <t>06/04/2021</t>
  </si>
  <si>
    <t>05/04/2021</t>
  </si>
  <si>
    <t>01/04/2021</t>
  </si>
  <si>
    <t>25/03/2021</t>
  </si>
  <si>
    <t>24/03/2021</t>
  </si>
  <si>
    <t>23/03/2021</t>
  </si>
  <si>
    <t>17/03/2021</t>
  </si>
  <si>
    <t>16/03/2021</t>
  </si>
  <si>
    <t>IRBR3 - IRB BRASIL RESSEGUROS S/A</t>
  </si>
  <si>
    <t>12/03/2021</t>
  </si>
  <si>
    <t>11/03/2021</t>
  </si>
  <si>
    <t>RBRP12 - FII RBR PROP</t>
  </si>
  <si>
    <t>10/03/2021</t>
  </si>
  <si>
    <t>08/03/2021</t>
  </si>
  <si>
    <t>05/03/2021</t>
  </si>
  <si>
    <t>03/03/2021</t>
  </si>
  <si>
    <t>01/03/2021</t>
  </si>
  <si>
    <t>26/02/2021</t>
  </si>
  <si>
    <t>ENBR3 - EDP ENERGIAS DO BRASIL S.A.</t>
  </si>
  <si>
    <t>25/02/2021</t>
  </si>
  <si>
    <t>23/02/2021</t>
  </si>
  <si>
    <t>19/02/2021</t>
  </si>
  <si>
    <t>18/02/2021</t>
  </si>
  <si>
    <t>12/02/2021</t>
  </si>
  <si>
    <t>XPLG13 - XP LOG FUNDO DE INVESTIMENTO IMOBILIARIO FII</t>
  </si>
  <si>
    <t>11/02/2021</t>
  </si>
  <si>
    <t>CVCB11 - CVC BRASIL OPERADORA E AGENCIA DE VIAGENS S.A.</t>
  </si>
  <si>
    <t>05/02/2021</t>
  </si>
  <si>
    <t>03/02/2021</t>
  </si>
  <si>
    <t>02/02/2021</t>
  </si>
  <si>
    <t>01/02/2021</t>
  </si>
  <si>
    <t>29/01/2021</t>
  </si>
  <si>
    <t>26/01/2021</t>
  </si>
  <si>
    <t>VILG12 - FII VINCILOG</t>
  </si>
  <si>
    <t>22/01/2021</t>
  </si>
  <si>
    <t>21/01/2021</t>
  </si>
  <si>
    <t>20/01/2021</t>
  </si>
  <si>
    <t>19/01/2021</t>
  </si>
  <si>
    <t>15/01/2021</t>
  </si>
  <si>
    <t>13/01/2021</t>
  </si>
  <si>
    <t>12/01/2021</t>
  </si>
  <si>
    <t>08/01/2021</t>
  </si>
  <si>
    <t>04/01/2021</t>
  </si>
  <si>
    <t>28/12/2020</t>
  </si>
  <si>
    <t>XPLG12 - XP LOG FUNDO DE INVESTIMENTO IMOBILIARIO FII</t>
  </si>
  <si>
    <t>23/12/2020</t>
  </si>
  <si>
    <t>17/12/2020</t>
  </si>
  <si>
    <t>MCCI13 - MAUA CAPITAL RE DEBT I FIM CP IE</t>
  </si>
  <si>
    <t>16/12/2020</t>
  </si>
  <si>
    <t>15/12/2020</t>
  </si>
  <si>
    <t>14/12/2020</t>
  </si>
  <si>
    <t>HGRU13 - CSHG RENDA URBANA - FUNDO DE INVESTIMENTO IMOBILIARIO - FII</t>
  </si>
  <si>
    <t>10/12/2020</t>
  </si>
  <si>
    <t>09/12/2020</t>
  </si>
  <si>
    <t>07/12/2020</t>
  </si>
  <si>
    <t>04/12/2020</t>
  </si>
  <si>
    <t>03/12/2020</t>
  </si>
  <si>
    <t>02/12/2020</t>
  </si>
  <si>
    <t>01/12/2020</t>
  </si>
  <si>
    <t>25/11/2020</t>
  </si>
  <si>
    <t>19/11/2020</t>
  </si>
  <si>
    <t>18/11/2020</t>
  </si>
  <si>
    <t>16/11/2020</t>
  </si>
  <si>
    <t>13/11/2020</t>
  </si>
  <si>
    <t>10/11/2020</t>
  </si>
  <si>
    <t>09/11/2020</t>
  </si>
  <si>
    <t>03/11/2020</t>
  </si>
  <si>
    <t>28/10/2020</t>
  </si>
  <si>
    <t>27/10/2020</t>
  </si>
  <si>
    <t>23/10/2020</t>
  </si>
  <si>
    <t>21/10/2020</t>
  </si>
  <si>
    <t>20/10/2020</t>
  </si>
  <si>
    <t>19/10/2020</t>
  </si>
  <si>
    <t>HGRU12 - CSHG RENDA URBANA - FUNDO DE INVESTIMENTO IMOBILIARIO - FII</t>
  </si>
  <si>
    <t>16/10/2020</t>
  </si>
  <si>
    <t>15/10/2020</t>
  </si>
  <si>
    <t>07/10/2020</t>
  </si>
  <si>
    <t>01/10/2020</t>
  </si>
  <si>
    <t>29/09/2020</t>
  </si>
  <si>
    <t>25/09/2020</t>
  </si>
  <si>
    <t>22/09/2020</t>
  </si>
  <si>
    <t>CVCB3 - CVC BRASIL OPERADORA E AGENCIA DE VIAGENS S.A.</t>
  </si>
  <si>
    <t>18/09/2020</t>
  </si>
  <si>
    <t>17/09/2020</t>
  </si>
  <si>
    <t>15/09/2020</t>
  </si>
  <si>
    <t>HGLG13 - CSHG LOGISTICA FUNDO DE INVESTIMENTO IMOBILIARIO - FII</t>
  </si>
  <si>
    <t>08/09/2020</t>
  </si>
  <si>
    <t>02/09/2020</t>
  </si>
  <si>
    <t>01/09/2020</t>
  </si>
  <si>
    <t>26/08/2020</t>
  </si>
  <si>
    <t>25/08/2020</t>
  </si>
  <si>
    <t>19/08/2020</t>
  </si>
  <si>
    <t>18/08/2020</t>
  </si>
  <si>
    <t>17/08/2020</t>
  </si>
  <si>
    <t>CVCB9 - CVC BRASIL OPERADORA E AGENCIA DE VIAGENS S.A.</t>
  </si>
  <si>
    <t>14/08/2020</t>
  </si>
  <si>
    <t>13/08/2020</t>
  </si>
  <si>
    <t>CVCB1 - CVC BRASIL OPERADORA E AGENCIA DE VIAGENS S.A.</t>
  </si>
  <si>
    <t>12/08/2020</t>
  </si>
  <si>
    <t>07/08/2020</t>
  </si>
  <si>
    <t>03/08/2020</t>
  </si>
  <si>
    <t>30/07/2020</t>
  </si>
  <si>
    <t>29/07/2020</t>
  </si>
  <si>
    <t>HGLG12 - CSHG LOGISTICA FUNDO DE INVESTIMENTO IMOBILIARIO - FII</t>
  </si>
  <si>
    <t>28/07/2020</t>
  </si>
  <si>
    <t>16/07/2020</t>
  </si>
  <si>
    <t>14/07/2020</t>
  </si>
  <si>
    <t>10/07/2020</t>
  </si>
  <si>
    <t>03/07/2020</t>
  </si>
  <si>
    <t>01/07/2020</t>
  </si>
  <si>
    <t>15/06/2020</t>
  </si>
  <si>
    <t>12/06/2020</t>
  </si>
  <si>
    <t>01/06/2020</t>
  </si>
  <si>
    <t>15/05/2020</t>
  </si>
  <si>
    <t>07/05/2020</t>
  </si>
  <si>
    <t>04/05/2020</t>
  </si>
  <si>
    <t>15/04/2020</t>
  </si>
  <si>
    <t>07/04/2020</t>
  </si>
  <si>
    <t>02/04/2020</t>
  </si>
  <si>
    <t>01/04/2020</t>
  </si>
  <si>
    <t>26/03/2020</t>
  </si>
  <si>
    <t>LEVE3 - MAHLE-METAL LEVE S/A</t>
  </si>
  <si>
    <t>18/03/2020</t>
  </si>
  <si>
    <t>17/03/2020</t>
  </si>
  <si>
    <t>16/03/2020</t>
  </si>
  <si>
    <t>11/03/2020</t>
  </si>
  <si>
    <t>06/03/2020</t>
  </si>
  <si>
    <t>02/03/2020</t>
  </si>
  <si>
    <t>07/02/2020</t>
  </si>
  <si>
    <t>03/02/2020</t>
  </si>
  <si>
    <t>29/01/2020</t>
  </si>
  <si>
    <t>XP SERVICOS FINANCEIROS DTVM LTDA</t>
  </si>
  <si>
    <t>02/01/2020</t>
  </si>
  <si>
    <t>02/12/2019</t>
  </si>
  <si>
    <t>01/11/2019</t>
  </si>
  <si>
    <t>nº ocorrencias</t>
  </si>
  <si>
    <t>descrição</t>
  </si>
  <si>
    <t>rendimentos de FIIs</t>
  </si>
  <si>
    <t>jcp de empresas listadas na B3</t>
  </si>
  <si>
    <t>Dividendo de empresas listadas na B3</t>
  </si>
  <si>
    <t>venda de ativos listados na b3. Ignorar. Usar o arquivo de negociações</t>
  </si>
  <si>
    <t>transferencia de ativos entre corretoras. Deve ser tratado em pares, entre transações que ocorrem com o mesmo ativo no mesmo dia</t>
  </si>
  <si>
    <t>transferencia de JCP entre corretoras. Deve ser tratado em pares, entre transações que ocorrem com o mesmo ativo no mesmo dia</t>
  </si>
  <si>
    <t>ignorar</t>
  </si>
  <si>
    <t>transferencia de dividendos entre corretoras. Deve ser tratado em pares, entre transações que ocorrem com o mesmo ativo no mesmo dia</t>
  </si>
  <si>
    <t>bonificação de ativos. Aumenta a quantidade de ativos, diminuindo o preço médio</t>
  </si>
  <si>
    <t>Compra de tesouro direto. Não possui ticker. Um ticker deve ser composto baseado no campo “produto”</t>
  </si>
  <si>
    <t>desdobramento de ações. O valor em “quantidade” descreve quantas ações foram recebidas, a preço zero</t>
  </si>
  <si>
    <t>venda forçada de frações de ativos. Lançar como venda. Essa transação não aparece no relatório de negociações</t>
  </si>
  <si>
    <t>fração de ativos. Tratar como uma bonificação, onde o ativo é recebido a preço zero. É necessária para que a transação de leilão faça sentido</t>
  </si>
  <si>
    <t>transferencia de rendimento de fii entre corretoras. Deve ser tratado em pares, entre transações que ocorrem com o mesmo ativo no mesmo dia</t>
  </si>
  <si>
    <t>cobrança de taxa de custódia do tesouro direto. Deve ser tratada como um débito na conta da corretora</t>
  </si>
  <si>
    <t>venda de cdb</t>
  </si>
  <si>
    <t>compra de cdb</t>
  </si>
  <si>
    <t>juros de CRI</t>
  </si>
  <si>
    <t>compra ou venda de renda fixa privada. Não possui ticker. Um ticker deve ser composto baseado no campo “produto”</t>
  </si>
  <si>
    <t>evento onde o ticker mudou de nome. Bastante raro e será tratado manualmente. Gerar um alerta no importer, mas ignorar</t>
  </si>
  <si>
    <t>grupamento de ativos. O valor no campo quantidade é o novo total. O preço médio aumenta, mas o valor total continua o mesmo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</si>
</sst>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_-&quot;R$&quot;* #,##0.00######_-;&quot;-R$&quot;* #,##0.00######_-;_ \-;_-@_-"/>
  </numFmts>
  <fonts count="2" x14ac:knownFonts="1">
    <font>
      <sz val="10"/>
      <name val="Arial"/>
      <family val="2"/>
    </font>
    <font>
      <b/>
      <sz val="1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164" fontId="1" fillId="2" borderId="0" xfId="0" applyNumberFormat="1" applyFont="1" applyFill="1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4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5" fontId="0" fillId="2" borderId="0" xfId="0" applyNumberFormat="1" applyFill="1"/>
    <xf numFmtId="0" fontId="0" fillId="3" borderId="0" xfId="0" applyFill="1"/>
    <xf numFmtId="14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5" fontId="0" fillId="3" borderId="0" xfId="0" applyNumberFormat="1" applyFill="1"/>
    <xf numFmtId="0" fontId="1" fillId="0" borderId="0" xfId="0" applyFont="1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646"/>
  <sheetViews>
    <sheetView zoomScaleNormal="100" workbookViewId="0">
      <selection activeCell="E884" sqref="E884"/>
    </sheetView>
  </sheetViews>
  <sheetFormatPr defaultColWidth="9.7109375" defaultRowHeight="12.75" x14ac:dyDescent="0.2"/>
  <cols>
    <col min="1" max="1" width="21.42578125" style="19" customWidth="1"/>
    <col min="2" max="2" width="17.140625" style="19" customWidth="1"/>
    <col min="3" max="3" width="17.140625" style="20" customWidth="1"/>
    <col min="4" max="4" width="41.5703125" style="19" customWidth="1"/>
    <col min="5" max="5" width="84" style="19" customWidth="1"/>
    <col min="6" max="6" width="69.28515625" style="19" customWidth="1"/>
    <col min="7" max="7" width="18.85546875" style="19" customWidth="1"/>
    <col min="8" max="8" width="36.85546875" style="19" customWidth="1"/>
    <col min="9" max="9" width="38" style="19" customWidth="1"/>
    <col min="10" max="16384" width="9.7109375" style="19"/>
  </cols>
  <sheetData>
    <row r="1" spans="1:9" ht="16.5" x14ac:dyDescent="0.3">
      <c r="A1" s="2" t="s">
        <v>0</v>
      </c>
      <c r="B1" s="2" t="s">
        <v>1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idden="1" x14ac:dyDescent="0.2">
      <c r="A2" t="s">
        <v>8</v>
      </c>
      <c r="B2" s="4" t="s">
        <v>9</v>
      </c>
      <c r="C2" s="5">
        <v>46178</v>
      </c>
      <c r="D2" t="s">
        <v>10</v>
      </c>
      <c r="E2" t="s">
        <v>11</v>
      </c>
      <c r="F2" t="s">
        <v>12</v>
      </c>
      <c r="G2" s="6">
        <v>8000</v>
      </c>
      <c r="H2" s="7">
        <v>1.000064E-2</v>
      </c>
      <c r="I2" s="7">
        <v>80.010000000000005</v>
      </c>
    </row>
    <row r="3" spans="1:9" x14ac:dyDescent="0.2">
      <c r="A3" t="s">
        <v>8</v>
      </c>
      <c r="B3" s="4" t="s">
        <v>13</v>
      </c>
      <c r="C3" s="5">
        <v>46175</v>
      </c>
      <c r="D3" t="s">
        <v>14</v>
      </c>
      <c r="E3" t="s">
        <v>15</v>
      </c>
      <c r="F3" t="s">
        <v>16</v>
      </c>
      <c r="G3" s="6">
        <v>0</v>
      </c>
      <c r="H3" s="7" t="s">
        <v>17</v>
      </c>
      <c r="I3" s="7" t="s">
        <v>17</v>
      </c>
    </row>
    <row r="4" spans="1:9" hidden="1" x14ac:dyDescent="0.2">
      <c r="A4" t="s">
        <v>18</v>
      </c>
      <c r="B4" s="4" t="s">
        <v>19</v>
      </c>
      <c r="C4" s="5">
        <v>46174</v>
      </c>
      <c r="D4" t="s">
        <v>20</v>
      </c>
      <c r="E4" t="s">
        <v>15</v>
      </c>
      <c r="F4" t="s">
        <v>16</v>
      </c>
      <c r="G4" s="6">
        <v>23</v>
      </c>
      <c r="H4" s="7" t="s">
        <v>17</v>
      </c>
      <c r="I4" s="7" t="s">
        <v>17</v>
      </c>
    </row>
    <row r="5" spans="1:9" hidden="1" x14ac:dyDescent="0.2">
      <c r="A5" t="s">
        <v>8</v>
      </c>
      <c r="B5" s="4" t="s">
        <v>19</v>
      </c>
      <c r="C5" s="5">
        <v>46174</v>
      </c>
      <c r="D5" t="s">
        <v>21</v>
      </c>
      <c r="E5" t="s">
        <v>15</v>
      </c>
      <c r="F5" t="s">
        <v>16</v>
      </c>
      <c r="G5" s="6">
        <v>23</v>
      </c>
      <c r="H5" s="7" t="s">
        <v>17</v>
      </c>
      <c r="I5" s="7" t="s">
        <v>17</v>
      </c>
    </row>
    <row r="6" spans="1:9" hidden="1" x14ac:dyDescent="0.2">
      <c r="A6" t="s">
        <v>8</v>
      </c>
      <c r="B6" s="4" t="s">
        <v>19</v>
      </c>
      <c r="C6" s="5">
        <v>46174</v>
      </c>
      <c r="D6" t="s">
        <v>10</v>
      </c>
      <c r="E6" t="s">
        <v>11</v>
      </c>
      <c r="F6" t="s">
        <v>12</v>
      </c>
      <c r="G6" s="6">
        <v>5000</v>
      </c>
      <c r="H6" s="7">
        <v>1.000032E-2</v>
      </c>
      <c r="I6" s="7">
        <v>50</v>
      </c>
    </row>
    <row r="7" spans="1:9" hidden="1" x14ac:dyDescent="0.2">
      <c r="A7" t="s">
        <v>18</v>
      </c>
      <c r="B7" s="4" t="s">
        <v>19</v>
      </c>
      <c r="C7" s="5">
        <v>46174</v>
      </c>
      <c r="D7" t="s">
        <v>22</v>
      </c>
      <c r="E7" t="s">
        <v>23</v>
      </c>
      <c r="F7" t="s">
        <v>12</v>
      </c>
      <c r="G7" s="6">
        <v>2404334</v>
      </c>
      <c r="H7" s="7">
        <v>0.01</v>
      </c>
      <c r="I7" s="7">
        <v>24043.34</v>
      </c>
    </row>
    <row r="8" spans="1:9" hidden="1" x14ac:dyDescent="0.2">
      <c r="A8" t="s">
        <v>18</v>
      </c>
      <c r="B8" s="4" t="s">
        <v>19</v>
      </c>
      <c r="C8" s="5">
        <v>46174</v>
      </c>
      <c r="D8" t="s">
        <v>24</v>
      </c>
      <c r="E8" t="s">
        <v>25</v>
      </c>
      <c r="F8" t="s">
        <v>16</v>
      </c>
      <c r="G8" s="6">
        <v>526</v>
      </c>
      <c r="H8" s="7">
        <v>1.7999999999999999E-2</v>
      </c>
      <c r="I8" s="7">
        <v>7.89</v>
      </c>
    </row>
    <row r="9" spans="1:9" x14ac:dyDescent="0.2">
      <c r="A9" t="s">
        <v>8</v>
      </c>
      <c r="B9" s="4" t="s">
        <v>19</v>
      </c>
      <c r="C9" s="5">
        <v>46174</v>
      </c>
      <c r="D9" t="s">
        <v>14</v>
      </c>
      <c r="E9" t="s">
        <v>26</v>
      </c>
      <c r="F9" t="s">
        <v>16</v>
      </c>
      <c r="G9" s="6">
        <v>0</v>
      </c>
      <c r="H9" s="7" t="s">
        <v>17</v>
      </c>
      <c r="I9" s="7" t="s">
        <v>17</v>
      </c>
    </row>
    <row r="10" spans="1:9" x14ac:dyDescent="0.2">
      <c r="A10" t="s">
        <v>18</v>
      </c>
      <c r="B10" s="4" t="s">
        <v>27</v>
      </c>
      <c r="C10" s="5">
        <v>46171</v>
      </c>
      <c r="D10" t="s">
        <v>28</v>
      </c>
      <c r="E10" t="s">
        <v>29</v>
      </c>
      <c r="F10" t="s">
        <v>16</v>
      </c>
      <c r="G10" s="6">
        <v>64</v>
      </c>
      <c r="H10" s="7" t="s">
        <v>17</v>
      </c>
      <c r="I10" s="7" t="s">
        <v>17</v>
      </c>
    </row>
    <row r="11" spans="1:9" hidden="1" x14ac:dyDescent="0.2">
      <c r="A11" t="s">
        <v>18</v>
      </c>
      <c r="B11" s="4" t="s">
        <v>27</v>
      </c>
      <c r="C11" s="5">
        <v>46171</v>
      </c>
      <c r="D11" t="s">
        <v>20</v>
      </c>
      <c r="E11" t="s">
        <v>26</v>
      </c>
      <c r="F11" t="s">
        <v>16</v>
      </c>
      <c r="G11" s="6">
        <v>93</v>
      </c>
      <c r="H11" s="7" t="s">
        <v>17</v>
      </c>
      <c r="I11" s="7" t="s">
        <v>17</v>
      </c>
    </row>
    <row r="12" spans="1:9" hidden="1" x14ac:dyDescent="0.2">
      <c r="A12" t="s">
        <v>8</v>
      </c>
      <c r="B12" s="4" t="s">
        <v>27</v>
      </c>
      <c r="C12" s="5">
        <v>46171</v>
      </c>
      <c r="D12" t="s">
        <v>21</v>
      </c>
      <c r="E12" t="s">
        <v>26</v>
      </c>
      <c r="F12" t="s">
        <v>16</v>
      </c>
      <c r="G12" s="6">
        <v>93</v>
      </c>
      <c r="H12" s="7" t="s">
        <v>17</v>
      </c>
      <c r="I12" s="7" t="s">
        <v>17</v>
      </c>
    </row>
    <row r="13" spans="1:9" hidden="1" x14ac:dyDescent="0.2">
      <c r="A13" s="1" t="s">
        <v>18</v>
      </c>
      <c r="B13" s="8" t="s">
        <v>30</v>
      </c>
      <c r="C13" s="9">
        <v>46170</v>
      </c>
      <c r="D13" s="1" t="s">
        <v>31</v>
      </c>
      <c r="E13" s="1" t="s">
        <v>32</v>
      </c>
      <c r="F13" s="1" t="s">
        <v>16</v>
      </c>
      <c r="G13" s="10">
        <v>600</v>
      </c>
      <c r="H13" s="11" t="s">
        <v>17</v>
      </c>
      <c r="I13" s="11" t="s">
        <v>17</v>
      </c>
    </row>
    <row r="14" spans="1:9" hidden="1" x14ac:dyDescent="0.2">
      <c r="A14" t="s">
        <v>18</v>
      </c>
      <c r="B14" s="4" t="s">
        <v>33</v>
      </c>
      <c r="C14" s="5">
        <v>46169</v>
      </c>
      <c r="D14" t="s">
        <v>22</v>
      </c>
      <c r="E14" t="s">
        <v>34</v>
      </c>
      <c r="F14" t="s">
        <v>12</v>
      </c>
      <c r="G14" s="6">
        <v>2473459</v>
      </c>
      <c r="H14" s="7">
        <v>0.01</v>
      </c>
      <c r="I14" s="7">
        <v>24734.59</v>
      </c>
    </row>
    <row r="15" spans="1:9" hidden="1" x14ac:dyDescent="0.2">
      <c r="A15" t="s">
        <v>18</v>
      </c>
      <c r="B15" s="4" t="s">
        <v>33</v>
      </c>
      <c r="C15" s="5">
        <v>46169</v>
      </c>
      <c r="D15" t="s">
        <v>35</v>
      </c>
      <c r="E15" t="s">
        <v>36</v>
      </c>
      <c r="F15" t="s">
        <v>16</v>
      </c>
      <c r="G15" s="6">
        <v>600</v>
      </c>
      <c r="H15" s="7">
        <v>0.253</v>
      </c>
      <c r="I15" s="7">
        <v>152.01</v>
      </c>
    </row>
    <row r="16" spans="1:9" hidden="1" x14ac:dyDescent="0.2">
      <c r="A16" t="s">
        <v>18</v>
      </c>
      <c r="B16" s="4" t="s">
        <v>33</v>
      </c>
      <c r="C16" s="5">
        <v>46169</v>
      </c>
      <c r="D16" t="s">
        <v>24</v>
      </c>
      <c r="E16" t="s">
        <v>36</v>
      </c>
      <c r="F16" t="s">
        <v>16</v>
      </c>
      <c r="G16" s="6">
        <v>300</v>
      </c>
      <c r="H16" s="7">
        <v>0.20599999999999999</v>
      </c>
      <c r="I16" s="7">
        <v>52.57</v>
      </c>
    </row>
    <row r="17" spans="1:9" hidden="1" x14ac:dyDescent="0.2">
      <c r="A17" t="s">
        <v>18</v>
      </c>
      <c r="B17" s="4" t="s">
        <v>33</v>
      </c>
      <c r="C17" s="5">
        <v>46169</v>
      </c>
      <c r="D17" t="s">
        <v>35</v>
      </c>
      <c r="E17" t="s">
        <v>36</v>
      </c>
      <c r="F17" t="s">
        <v>16</v>
      </c>
      <c r="G17" s="6">
        <v>600</v>
      </c>
      <c r="H17" s="7">
        <v>1.7829999999999999</v>
      </c>
      <c r="I17" s="7">
        <v>1069.74</v>
      </c>
    </row>
    <row r="18" spans="1:9" hidden="1" x14ac:dyDescent="0.2">
      <c r="A18" t="s">
        <v>18</v>
      </c>
      <c r="B18" s="4" t="s">
        <v>33</v>
      </c>
      <c r="C18" s="5">
        <v>46169</v>
      </c>
      <c r="D18" t="s">
        <v>35</v>
      </c>
      <c r="E18" t="s">
        <v>37</v>
      </c>
      <c r="F18" t="s">
        <v>16</v>
      </c>
      <c r="G18" s="6">
        <v>700</v>
      </c>
      <c r="H18" s="7">
        <v>0.153</v>
      </c>
      <c r="I18" s="7">
        <v>107.44</v>
      </c>
    </row>
    <row r="19" spans="1:9" hidden="1" x14ac:dyDescent="0.2">
      <c r="A19" t="s">
        <v>18</v>
      </c>
      <c r="B19" s="4" t="s">
        <v>33</v>
      </c>
      <c r="C19" s="5">
        <v>46169</v>
      </c>
      <c r="D19" t="s">
        <v>35</v>
      </c>
      <c r="E19" t="s">
        <v>37</v>
      </c>
      <c r="F19" t="s">
        <v>16</v>
      </c>
      <c r="G19" s="6">
        <v>700</v>
      </c>
      <c r="H19" s="7">
        <v>0.755</v>
      </c>
      <c r="I19" s="7">
        <v>528.76</v>
      </c>
    </row>
    <row r="20" spans="1:9" hidden="1" x14ac:dyDescent="0.2">
      <c r="A20" s="1" t="s">
        <v>18</v>
      </c>
      <c r="B20" s="8" t="s">
        <v>38</v>
      </c>
      <c r="C20" s="9">
        <v>46167</v>
      </c>
      <c r="D20" s="1" t="s">
        <v>31</v>
      </c>
      <c r="E20" s="1" t="s">
        <v>39</v>
      </c>
      <c r="F20" s="1" t="s">
        <v>16</v>
      </c>
      <c r="G20" s="10">
        <v>500</v>
      </c>
      <c r="H20" s="11" t="s">
        <v>17</v>
      </c>
      <c r="I20" s="11" t="s">
        <v>17</v>
      </c>
    </row>
    <row r="21" spans="1:9" hidden="1" x14ac:dyDescent="0.2">
      <c r="A21" t="s">
        <v>18</v>
      </c>
      <c r="B21" s="4" t="s">
        <v>40</v>
      </c>
      <c r="C21" s="5">
        <v>46164</v>
      </c>
      <c r="D21" t="s">
        <v>41</v>
      </c>
      <c r="E21" t="s">
        <v>42</v>
      </c>
      <c r="F21" t="s">
        <v>16</v>
      </c>
      <c r="G21" s="6">
        <v>132</v>
      </c>
      <c r="H21" s="7">
        <v>1.03</v>
      </c>
      <c r="I21" s="7">
        <v>135.96</v>
      </c>
    </row>
    <row r="22" spans="1:9" x14ac:dyDescent="0.2">
      <c r="A22" t="s">
        <v>18</v>
      </c>
      <c r="B22" s="4" t="s">
        <v>43</v>
      </c>
      <c r="C22" s="5">
        <v>46162</v>
      </c>
      <c r="D22" t="s">
        <v>28</v>
      </c>
      <c r="E22" t="s">
        <v>15</v>
      </c>
      <c r="F22" t="s">
        <v>16</v>
      </c>
      <c r="G22" s="6">
        <v>23</v>
      </c>
      <c r="H22" s="7" t="s">
        <v>17</v>
      </c>
      <c r="I22" s="7" t="s">
        <v>17</v>
      </c>
    </row>
    <row r="23" spans="1:9" hidden="1" x14ac:dyDescent="0.2">
      <c r="A23" t="s">
        <v>18</v>
      </c>
      <c r="B23" s="4" t="s">
        <v>43</v>
      </c>
      <c r="C23" s="5">
        <v>46162</v>
      </c>
      <c r="D23" t="s">
        <v>24</v>
      </c>
      <c r="E23" t="s">
        <v>44</v>
      </c>
      <c r="F23" t="s">
        <v>16</v>
      </c>
      <c r="G23" s="6">
        <v>420</v>
      </c>
      <c r="H23" s="7">
        <v>8.7999999999999995E-2</v>
      </c>
      <c r="I23" s="7">
        <v>31.25</v>
      </c>
    </row>
    <row r="24" spans="1:9" hidden="1" x14ac:dyDescent="0.2">
      <c r="A24" t="s">
        <v>18</v>
      </c>
      <c r="B24" s="4" t="s">
        <v>43</v>
      </c>
      <c r="C24" s="5">
        <v>46162</v>
      </c>
      <c r="D24" t="s">
        <v>35</v>
      </c>
      <c r="E24" t="s">
        <v>44</v>
      </c>
      <c r="F24" t="s">
        <v>16</v>
      </c>
      <c r="G24" s="6">
        <v>620</v>
      </c>
      <c r="H24" s="7">
        <v>0.48799999999999999</v>
      </c>
      <c r="I24" s="7">
        <v>302.73</v>
      </c>
    </row>
    <row r="25" spans="1:9" hidden="1" x14ac:dyDescent="0.2">
      <c r="A25" t="s">
        <v>18</v>
      </c>
      <c r="B25" s="4" t="s">
        <v>43</v>
      </c>
      <c r="C25" s="5">
        <v>46162</v>
      </c>
      <c r="D25" t="s">
        <v>24</v>
      </c>
      <c r="E25" t="s">
        <v>32</v>
      </c>
      <c r="F25" t="s">
        <v>16</v>
      </c>
      <c r="G25" s="6">
        <v>600</v>
      </c>
      <c r="H25" s="7">
        <v>0.313</v>
      </c>
      <c r="I25" s="7">
        <v>154.99</v>
      </c>
    </row>
    <row r="26" spans="1:9" hidden="1" x14ac:dyDescent="0.2">
      <c r="A26" t="s">
        <v>18</v>
      </c>
      <c r="B26" s="4" t="s">
        <v>43</v>
      </c>
      <c r="C26" s="5">
        <v>46162</v>
      </c>
      <c r="D26" t="s">
        <v>41</v>
      </c>
      <c r="E26" t="s">
        <v>32</v>
      </c>
      <c r="F26" t="s">
        <v>16</v>
      </c>
      <c r="G26" s="6">
        <v>600</v>
      </c>
      <c r="H26" s="7">
        <v>1.6E-2</v>
      </c>
      <c r="I26" s="7">
        <v>7.67</v>
      </c>
    </row>
    <row r="27" spans="1:9" x14ac:dyDescent="0.2">
      <c r="A27" t="s">
        <v>18</v>
      </c>
      <c r="B27" s="4" t="s">
        <v>45</v>
      </c>
      <c r="C27" s="5">
        <v>46161</v>
      </c>
      <c r="D27" t="s">
        <v>28</v>
      </c>
      <c r="E27" t="s">
        <v>26</v>
      </c>
      <c r="F27" t="s">
        <v>16</v>
      </c>
      <c r="G27" s="6">
        <v>93</v>
      </c>
      <c r="H27" s="7" t="s">
        <v>17</v>
      </c>
      <c r="I27" s="7" t="s">
        <v>17</v>
      </c>
    </row>
    <row r="28" spans="1:9" hidden="1" x14ac:dyDescent="0.2">
      <c r="A28" t="s">
        <v>18</v>
      </c>
      <c r="B28" s="4" t="s">
        <v>46</v>
      </c>
      <c r="C28" s="5">
        <v>46160</v>
      </c>
      <c r="D28" t="s">
        <v>41</v>
      </c>
      <c r="E28" t="s">
        <v>47</v>
      </c>
      <c r="F28" t="s">
        <v>16</v>
      </c>
      <c r="G28" s="6">
        <v>147</v>
      </c>
      <c r="H28" s="7">
        <v>0.89</v>
      </c>
      <c r="I28" s="7">
        <v>130.83000000000001</v>
      </c>
    </row>
    <row r="29" spans="1:9" hidden="1" x14ac:dyDescent="0.2">
      <c r="A29" t="s">
        <v>18</v>
      </c>
      <c r="B29" s="4" t="s">
        <v>48</v>
      </c>
      <c r="C29" s="5">
        <v>46157</v>
      </c>
      <c r="D29" t="s">
        <v>35</v>
      </c>
      <c r="E29" t="s">
        <v>49</v>
      </c>
      <c r="F29" t="s">
        <v>16</v>
      </c>
      <c r="G29" s="6">
        <v>1000</v>
      </c>
      <c r="H29" s="7">
        <v>0.33</v>
      </c>
      <c r="I29" s="7">
        <v>330</v>
      </c>
    </row>
    <row r="30" spans="1:9" hidden="1" x14ac:dyDescent="0.2">
      <c r="A30" t="s">
        <v>18</v>
      </c>
      <c r="B30" s="4" t="s">
        <v>48</v>
      </c>
      <c r="C30" s="5">
        <v>46157</v>
      </c>
      <c r="D30" t="s">
        <v>41</v>
      </c>
      <c r="E30" t="s">
        <v>50</v>
      </c>
      <c r="F30" t="s">
        <v>16</v>
      </c>
      <c r="G30" s="6">
        <v>99</v>
      </c>
      <c r="H30" s="7">
        <v>1.1000000000000001</v>
      </c>
      <c r="I30" s="7">
        <v>108.9</v>
      </c>
    </row>
    <row r="31" spans="1:9" hidden="1" x14ac:dyDescent="0.2">
      <c r="A31" t="s">
        <v>18</v>
      </c>
      <c r="B31" s="4" t="s">
        <v>48</v>
      </c>
      <c r="C31" s="5">
        <v>46157</v>
      </c>
      <c r="D31" t="s">
        <v>41</v>
      </c>
      <c r="E31" t="s">
        <v>51</v>
      </c>
      <c r="F31" t="s">
        <v>16</v>
      </c>
      <c r="G31" s="6">
        <v>129</v>
      </c>
      <c r="H31" s="7">
        <v>0.95</v>
      </c>
      <c r="I31" s="7">
        <v>122.55</v>
      </c>
    </row>
    <row r="32" spans="1:9" hidden="1" x14ac:dyDescent="0.2">
      <c r="A32" t="s">
        <v>18</v>
      </c>
      <c r="B32" s="4" t="s">
        <v>48</v>
      </c>
      <c r="C32" s="5">
        <v>46157</v>
      </c>
      <c r="D32" t="s">
        <v>41</v>
      </c>
      <c r="E32" t="s">
        <v>52</v>
      </c>
      <c r="F32" t="s">
        <v>16</v>
      </c>
      <c r="G32" s="6">
        <v>153</v>
      </c>
      <c r="H32" s="7">
        <v>1</v>
      </c>
      <c r="I32" s="7">
        <v>153</v>
      </c>
    </row>
    <row r="33" spans="1:9" hidden="1" x14ac:dyDescent="0.2">
      <c r="A33" t="s">
        <v>18</v>
      </c>
      <c r="B33" s="4" t="s">
        <v>53</v>
      </c>
      <c r="C33" s="5">
        <v>46150</v>
      </c>
      <c r="D33" t="s">
        <v>41</v>
      </c>
      <c r="E33" t="s">
        <v>54</v>
      </c>
      <c r="F33" t="s">
        <v>16</v>
      </c>
      <c r="G33" s="6">
        <v>113</v>
      </c>
      <c r="H33" s="7">
        <v>0.75</v>
      </c>
      <c r="I33" s="7">
        <v>84.75</v>
      </c>
    </row>
    <row r="34" spans="1:9" hidden="1" x14ac:dyDescent="0.2">
      <c r="A34" t="s">
        <v>18</v>
      </c>
      <c r="B34" s="4" t="s">
        <v>53</v>
      </c>
      <c r="C34" s="5">
        <v>46150</v>
      </c>
      <c r="D34" t="s">
        <v>35</v>
      </c>
      <c r="E34" t="s">
        <v>55</v>
      </c>
      <c r="F34" t="s">
        <v>16</v>
      </c>
      <c r="G34" s="6">
        <v>115</v>
      </c>
      <c r="H34" s="7">
        <v>8.1000000000000003E-2</v>
      </c>
      <c r="I34" s="7">
        <v>9.34</v>
      </c>
    </row>
    <row r="35" spans="1:9" hidden="1" x14ac:dyDescent="0.2">
      <c r="A35" t="s">
        <v>18</v>
      </c>
      <c r="B35" s="4" t="s">
        <v>56</v>
      </c>
      <c r="C35" s="5">
        <v>46147</v>
      </c>
      <c r="D35" t="s">
        <v>35</v>
      </c>
      <c r="E35" t="s">
        <v>57</v>
      </c>
      <c r="F35" t="s">
        <v>16</v>
      </c>
      <c r="G35" s="6">
        <v>830</v>
      </c>
      <c r="H35" s="7">
        <v>0.40400000000000003</v>
      </c>
      <c r="I35" s="7">
        <v>335.03</v>
      </c>
    </row>
    <row r="36" spans="1:9" hidden="1" x14ac:dyDescent="0.2">
      <c r="A36" t="s">
        <v>18</v>
      </c>
      <c r="B36" s="4" t="s">
        <v>58</v>
      </c>
      <c r="C36" s="5">
        <v>46146</v>
      </c>
      <c r="D36" t="s">
        <v>24</v>
      </c>
      <c r="E36" t="s">
        <v>25</v>
      </c>
      <c r="F36" t="s">
        <v>16</v>
      </c>
      <c r="G36" s="6">
        <v>526</v>
      </c>
      <c r="H36" s="7">
        <v>1.7999999999999999E-2</v>
      </c>
      <c r="I36" s="7">
        <v>7.89</v>
      </c>
    </row>
    <row r="37" spans="1:9" hidden="1" x14ac:dyDescent="0.2">
      <c r="A37" t="s">
        <v>18</v>
      </c>
      <c r="B37" s="4" t="s">
        <v>59</v>
      </c>
      <c r="C37" s="5">
        <v>46135</v>
      </c>
      <c r="D37" t="s">
        <v>41</v>
      </c>
      <c r="E37" t="s">
        <v>42</v>
      </c>
      <c r="F37" t="s">
        <v>16</v>
      </c>
      <c r="G37" s="6">
        <v>132</v>
      </c>
      <c r="H37" s="7">
        <v>0.98</v>
      </c>
      <c r="I37" s="7">
        <v>129.36000000000001</v>
      </c>
    </row>
    <row r="38" spans="1:9" hidden="1" x14ac:dyDescent="0.2">
      <c r="A38" t="s">
        <v>18</v>
      </c>
      <c r="B38" s="4" t="s">
        <v>60</v>
      </c>
      <c r="C38" s="5">
        <v>46128</v>
      </c>
      <c r="D38" t="s">
        <v>41</v>
      </c>
      <c r="E38" t="s">
        <v>47</v>
      </c>
      <c r="F38" t="s">
        <v>16</v>
      </c>
      <c r="G38" s="6">
        <v>147</v>
      </c>
      <c r="H38" s="7">
        <v>0.85</v>
      </c>
      <c r="I38" s="7">
        <v>124.95</v>
      </c>
    </row>
    <row r="39" spans="1:9" hidden="1" x14ac:dyDescent="0.2">
      <c r="A39" t="s">
        <v>18</v>
      </c>
      <c r="B39" s="4" t="s">
        <v>61</v>
      </c>
      <c r="C39" s="5">
        <v>46127</v>
      </c>
      <c r="D39" t="s">
        <v>41</v>
      </c>
      <c r="E39" t="s">
        <v>50</v>
      </c>
      <c r="F39" t="s">
        <v>16</v>
      </c>
      <c r="G39" s="6">
        <v>99</v>
      </c>
      <c r="H39" s="7">
        <v>1.1000000000000001</v>
      </c>
      <c r="I39" s="7">
        <v>108.9</v>
      </c>
    </row>
    <row r="40" spans="1:9" hidden="1" x14ac:dyDescent="0.2">
      <c r="A40" t="s">
        <v>18</v>
      </c>
      <c r="B40" s="4" t="s">
        <v>61</v>
      </c>
      <c r="C40" s="5">
        <v>46127</v>
      </c>
      <c r="D40" t="s">
        <v>41</v>
      </c>
      <c r="E40" t="s">
        <v>51</v>
      </c>
      <c r="F40" t="s">
        <v>16</v>
      </c>
      <c r="G40" s="6">
        <v>129</v>
      </c>
      <c r="H40" s="7">
        <v>0.95</v>
      </c>
      <c r="I40" s="7">
        <v>122.55</v>
      </c>
    </row>
    <row r="41" spans="1:9" hidden="1" x14ac:dyDescent="0.2">
      <c r="A41" t="s">
        <v>18</v>
      </c>
      <c r="B41" s="4" t="s">
        <v>61</v>
      </c>
      <c r="C41" s="5">
        <v>46127</v>
      </c>
      <c r="D41" t="s">
        <v>41</v>
      </c>
      <c r="E41" t="s">
        <v>52</v>
      </c>
      <c r="F41" t="s">
        <v>16</v>
      </c>
      <c r="G41" s="6">
        <v>153</v>
      </c>
      <c r="H41" s="7">
        <v>1</v>
      </c>
      <c r="I41" s="7">
        <v>153</v>
      </c>
    </row>
    <row r="42" spans="1:9" hidden="1" x14ac:dyDescent="0.2">
      <c r="A42" t="s">
        <v>18</v>
      </c>
      <c r="B42" s="4" t="s">
        <v>62</v>
      </c>
      <c r="C42" s="5">
        <v>46125</v>
      </c>
      <c r="D42" t="s">
        <v>24</v>
      </c>
      <c r="E42" t="s">
        <v>63</v>
      </c>
      <c r="F42" t="s">
        <v>16</v>
      </c>
      <c r="G42" s="6">
        <v>400</v>
      </c>
      <c r="H42" s="7">
        <v>7.3999999999999996E-2</v>
      </c>
      <c r="I42" s="7">
        <v>25.33</v>
      </c>
    </row>
    <row r="43" spans="1:9" hidden="1" x14ac:dyDescent="0.2">
      <c r="A43" t="s">
        <v>18</v>
      </c>
      <c r="B43" s="4" t="s">
        <v>64</v>
      </c>
      <c r="C43" s="5">
        <v>46120</v>
      </c>
      <c r="D43" t="s">
        <v>41</v>
      </c>
      <c r="E43" t="s">
        <v>54</v>
      </c>
      <c r="F43" t="s">
        <v>16</v>
      </c>
      <c r="G43" s="6">
        <v>113</v>
      </c>
      <c r="H43" s="7">
        <v>0.75</v>
      </c>
      <c r="I43" s="7">
        <v>84.75</v>
      </c>
    </row>
    <row r="44" spans="1:9" hidden="1" x14ac:dyDescent="0.2">
      <c r="A44" t="s">
        <v>18</v>
      </c>
      <c r="B44" s="4" t="s">
        <v>65</v>
      </c>
      <c r="C44" s="5">
        <v>46113</v>
      </c>
      <c r="D44" t="s">
        <v>24</v>
      </c>
      <c r="E44" t="s">
        <v>25</v>
      </c>
      <c r="F44" t="s">
        <v>16</v>
      </c>
      <c r="G44" s="6">
        <v>526</v>
      </c>
      <c r="H44" s="7">
        <v>1.7999999999999999E-2</v>
      </c>
      <c r="I44" s="7">
        <v>7.89</v>
      </c>
    </row>
    <row r="45" spans="1:9" hidden="1" x14ac:dyDescent="0.2">
      <c r="A45" t="s">
        <v>18</v>
      </c>
      <c r="B45" s="4" t="s">
        <v>66</v>
      </c>
      <c r="C45" s="5">
        <v>46106</v>
      </c>
      <c r="D45" t="s">
        <v>67</v>
      </c>
      <c r="E45" t="s">
        <v>55</v>
      </c>
      <c r="F45" t="s">
        <v>16</v>
      </c>
      <c r="G45" s="6">
        <v>0.5</v>
      </c>
      <c r="H45" s="7">
        <v>9.1470000000000002</v>
      </c>
      <c r="I45" s="7">
        <v>4.57</v>
      </c>
    </row>
    <row r="46" spans="1:9" hidden="1" x14ac:dyDescent="0.2">
      <c r="A46" s="1" t="s">
        <v>18</v>
      </c>
      <c r="B46" s="8" t="s">
        <v>66</v>
      </c>
      <c r="C46" s="9">
        <v>46106</v>
      </c>
      <c r="D46" s="1" t="s">
        <v>31</v>
      </c>
      <c r="E46" s="1" t="s">
        <v>32</v>
      </c>
      <c r="F46" s="1" t="s">
        <v>16</v>
      </c>
      <c r="G46" s="10">
        <v>600</v>
      </c>
      <c r="H46" s="11" t="s">
        <v>17</v>
      </c>
      <c r="I46" s="11" t="s">
        <v>17</v>
      </c>
    </row>
    <row r="47" spans="1:9" hidden="1" x14ac:dyDescent="0.2">
      <c r="A47" t="s">
        <v>18</v>
      </c>
      <c r="B47" s="4" t="s">
        <v>68</v>
      </c>
      <c r="C47" s="5">
        <v>46101</v>
      </c>
      <c r="D47" t="s">
        <v>41</v>
      </c>
      <c r="E47" t="s">
        <v>42</v>
      </c>
      <c r="F47" t="s">
        <v>16</v>
      </c>
      <c r="G47" s="6">
        <v>132</v>
      </c>
      <c r="H47" s="7">
        <v>0.97</v>
      </c>
      <c r="I47" s="7">
        <v>128.04</v>
      </c>
    </row>
    <row r="48" spans="1:9" hidden="1" x14ac:dyDescent="0.2">
      <c r="A48" t="s">
        <v>18</v>
      </c>
      <c r="B48" s="4" t="s">
        <v>68</v>
      </c>
      <c r="C48" s="5">
        <v>46101</v>
      </c>
      <c r="D48" t="s">
        <v>41</v>
      </c>
      <c r="E48" t="s">
        <v>32</v>
      </c>
      <c r="F48" t="s">
        <v>16</v>
      </c>
      <c r="G48" s="6">
        <v>500</v>
      </c>
      <c r="H48" s="7">
        <v>8.9999999999999993E-3</v>
      </c>
      <c r="I48" s="7">
        <v>3.47</v>
      </c>
    </row>
    <row r="49" spans="1:9" hidden="1" x14ac:dyDescent="0.2">
      <c r="A49" t="s">
        <v>18</v>
      </c>
      <c r="B49" s="4" t="s">
        <v>68</v>
      </c>
      <c r="C49" s="5">
        <v>46101</v>
      </c>
      <c r="D49" t="s">
        <v>35</v>
      </c>
      <c r="E49" t="s">
        <v>32</v>
      </c>
      <c r="F49" t="s">
        <v>16</v>
      </c>
      <c r="G49" s="6">
        <v>500</v>
      </c>
      <c r="H49" s="7">
        <v>0.29599999999999999</v>
      </c>
      <c r="I49" s="7">
        <v>148.21</v>
      </c>
    </row>
    <row r="50" spans="1:9" hidden="1" x14ac:dyDescent="0.2">
      <c r="A50" t="s">
        <v>18</v>
      </c>
      <c r="B50" s="4" t="s">
        <v>68</v>
      </c>
      <c r="C50" s="5">
        <v>46101</v>
      </c>
      <c r="D50" t="s">
        <v>41</v>
      </c>
      <c r="E50" t="s">
        <v>32</v>
      </c>
      <c r="F50" t="s">
        <v>16</v>
      </c>
      <c r="G50" s="6">
        <v>500</v>
      </c>
      <c r="H50" s="7">
        <v>5.0000000000000001E-3</v>
      </c>
      <c r="I50" s="7">
        <v>2.0499999999999998</v>
      </c>
    </row>
    <row r="51" spans="1:9" hidden="1" x14ac:dyDescent="0.2">
      <c r="A51" t="s">
        <v>18</v>
      </c>
      <c r="B51" s="4" t="s">
        <v>68</v>
      </c>
      <c r="C51" s="5">
        <v>46101</v>
      </c>
      <c r="D51" t="s">
        <v>24</v>
      </c>
      <c r="E51" t="s">
        <v>32</v>
      </c>
      <c r="F51" t="s">
        <v>16</v>
      </c>
      <c r="G51" s="6">
        <v>500</v>
      </c>
      <c r="H51" s="7">
        <v>0.17499999999999999</v>
      </c>
      <c r="I51" s="7">
        <v>74.459999999999994</v>
      </c>
    </row>
    <row r="52" spans="1:9" x14ac:dyDescent="0.2">
      <c r="A52" t="s">
        <v>8</v>
      </c>
      <c r="B52" s="4" t="s">
        <v>69</v>
      </c>
      <c r="C52" s="5">
        <v>46098</v>
      </c>
      <c r="D52" t="s">
        <v>14</v>
      </c>
      <c r="E52" t="s">
        <v>70</v>
      </c>
      <c r="F52" t="s">
        <v>16</v>
      </c>
      <c r="G52" s="6">
        <v>0</v>
      </c>
      <c r="H52" s="7" t="s">
        <v>17</v>
      </c>
      <c r="I52" s="7" t="s">
        <v>17</v>
      </c>
    </row>
    <row r="53" spans="1:9" hidden="1" x14ac:dyDescent="0.2">
      <c r="A53" t="s">
        <v>8</v>
      </c>
      <c r="B53" s="4" t="s">
        <v>71</v>
      </c>
      <c r="C53" s="5">
        <v>46097</v>
      </c>
      <c r="D53" t="s">
        <v>21</v>
      </c>
      <c r="E53" t="s">
        <v>70</v>
      </c>
      <c r="F53" t="s">
        <v>16</v>
      </c>
      <c r="G53" s="6">
        <v>44</v>
      </c>
      <c r="H53" s="7" t="s">
        <v>17</v>
      </c>
      <c r="I53" s="7" t="s">
        <v>17</v>
      </c>
    </row>
    <row r="54" spans="1:9" hidden="1" x14ac:dyDescent="0.2">
      <c r="A54" t="s">
        <v>18</v>
      </c>
      <c r="B54" s="4" t="s">
        <v>71</v>
      </c>
      <c r="C54" s="5">
        <v>46097</v>
      </c>
      <c r="D54" t="s">
        <v>20</v>
      </c>
      <c r="E54" t="s">
        <v>70</v>
      </c>
      <c r="F54" t="s">
        <v>16</v>
      </c>
      <c r="G54" s="6">
        <v>44</v>
      </c>
      <c r="H54" s="7" t="s">
        <v>17</v>
      </c>
      <c r="I54" s="7" t="s">
        <v>17</v>
      </c>
    </row>
    <row r="55" spans="1:9" hidden="1" x14ac:dyDescent="0.2">
      <c r="A55" t="s">
        <v>18</v>
      </c>
      <c r="B55" s="4" t="s">
        <v>71</v>
      </c>
      <c r="C55" s="5">
        <v>46097</v>
      </c>
      <c r="D55" t="s">
        <v>41</v>
      </c>
      <c r="E55" t="s">
        <v>47</v>
      </c>
      <c r="F55" t="s">
        <v>16</v>
      </c>
      <c r="G55" s="6">
        <v>147</v>
      </c>
      <c r="H55" s="7">
        <v>0.8</v>
      </c>
      <c r="I55" s="7">
        <v>117.6</v>
      </c>
    </row>
    <row r="56" spans="1:9" hidden="1" x14ac:dyDescent="0.2">
      <c r="A56" t="s">
        <v>18</v>
      </c>
      <c r="B56" s="4" t="s">
        <v>72</v>
      </c>
      <c r="C56" s="5">
        <v>46094</v>
      </c>
      <c r="D56" t="s">
        <v>41</v>
      </c>
      <c r="E56" t="s">
        <v>50</v>
      </c>
      <c r="F56" t="s">
        <v>16</v>
      </c>
      <c r="G56" s="6">
        <v>99</v>
      </c>
      <c r="H56" s="7">
        <v>1.1000000000000001</v>
      </c>
      <c r="I56" s="7">
        <v>108.9</v>
      </c>
    </row>
    <row r="57" spans="1:9" hidden="1" x14ac:dyDescent="0.2">
      <c r="A57" t="s">
        <v>18</v>
      </c>
      <c r="B57" s="4" t="s">
        <v>72</v>
      </c>
      <c r="C57" s="5">
        <v>46094</v>
      </c>
      <c r="D57" t="s">
        <v>41</v>
      </c>
      <c r="E57" t="s">
        <v>51</v>
      </c>
      <c r="F57" t="s">
        <v>16</v>
      </c>
      <c r="G57" s="6">
        <v>129</v>
      </c>
      <c r="H57" s="7">
        <v>0.95</v>
      </c>
      <c r="I57" s="7">
        <v>122.55</v>
      </c>
    </row>
    <row r="58" spans="1:9" hidden="1" x14ac:dyDescent="0.2">
      <c r="A58" t="s">
        <v>18</v>
      </c>
      <c r="B58" s="4" t="s">
        <v>72</v>
      </c>
      <c r="C58" s="5">
        <v>46094</v>
      </c>
      <c r="D58" t="s">
        <v>41</v>
      </c>
      <c r="E58" t="s">
        <v>52</v>
      </c>
      <c r="F58" t="s">
        <v>16</v>
      </c>
      <c r="G58" s="6">
        <v>153</v>
      </c>
      <c r="H58" s="7">
        <v>1</v>
      </c>
      <c r="I58" s="7">
        <v>153</v>
      </c>
    </row>
    <row r="59" spans="1:9" hidden="1" x14ac:dyDescent="0.2">
      <c r="A59" t="s">
        <v>18</v>
      </c>
      <c r="B59" s="4" t="s">
        <v>73</v>
      </c>
      <c r="C59" s="5">
        <v>46091</v>
      </c>
      <c r="D59" t="s">
        <v>67</v>
      </c>
      <c r="E59" t="s">
        <v>25</v>
      </c>
      <c r="F59" t="s">
        <v>16</v>
      </c>
      <c r="G59" s="6">
        <v>0.6</v>
      </c>
      <c r="H59" s="7">
        <v>44.872999999999998</v>
      </c>
      <c r="I59" s="7">
        <v>26.92</v>
      </c>
    </row>
    <row r="60" spans="1:9" hidden="1" x14ac:dyDescent="0.2">
      <c r="A60" t="s">
        <v>18</v>
      </c>
      <c r="B60" s="4" t="s">
        <v>74</v>
      </c>
      <c r="C60" s="5">
        <v>46087</v>
      </c>
      <c r="D60" t="s">
        <v>24</v>
      </c>
      <c r="E60" t="s">
        <v>25</v>
      </c>
      <c r="F60" t="s">
        <v>16</v>
      </c>
      <c r="G60" s="6">
        <v>220</v>
      </c>
      <c r="H60" s="7">
        <v>0.37</v>
      </c>
      <c r="I60" s="7">
        <v>69.14</v>
      </c>
    </row>
    <row r="61" spans="1:9" hidden="1" x14ac:dyDescent="0.2">
      <c r="A61" t="s">
        <v>18</v>
      </c>
      <c r="B61" s="4" t="s">
        <v>74</v>
      </c>
      <c r="C61" s="5">
        <v>46087</v>
      </c>
      <c r="D61" t="s">
        <v>41</v>
      </c>
      <c r="E61" t="s">
        <v>54</v>
      </c>
      <c r="F61" t="s">
        <v>16</v>
      </c>
      <c r="G61" s="6">
        <v>113</v>
      </c>
      <c r="H61" s="7">
        <v>0.75</v>
      </c>
      <c r="I61" s="7">
        <v>84.75</v>
      </c>
    </row>
    <row r="62" spans="1:9" hidden="1" x14ac:dyDescent="0.2">
      <c r="A62" t="s">
        <v>18</v>
      </c>
      <c r="B62" s="4" t="s">
        <v>75</v>
      </c>
      <c r="C62" s="5">
        <v>46085</v>
      </c>
      <c r="D62" t="s">
        <v>35</v>
      </c>
      <c r="E62" t="s">
        <v>76</v>
      </c>
      <c r="F62" t="s">
        <v>16</v>
      </c>
      <c r="G62" s="6">
        <v>200</v>
      </c>
      <c r="H62" s="7">
        <v>0.76800000000000002</v>
      </c>
      <c r="I62" s="7">
        <v>153.62</v>
      </c>
    </row>
    <row r="63" spans="1:9" hidden="1" x14ac:dyDescent="0.2">
      <c r="A63" t="s">
        <v>18</v>
      </c>
      <c r="B63" s="4" t="s">
        <v>75</v>
      </c>
      <c r="C63" s="5">
        <v>46085</v>
      </c>
      <c r="D63" t="s">
        <v>24</v>
      </c>
      <c r="E63" t="s">
        <v>76</v>
      </c>
      <c r="F63" t="s">
        <v>16</v>
      </c>
      <c r="G63" s="6">
        <v>200</v>
      </c>
      <c r="H63" s="7">
        <v>1.57</v>
      </c>
      <c r="I63" s="7">
        <v>266.82</v>
      </c>
    </row>
    <row r="64" spans="1:9" hidden="1" x14ac:dyDescent="0.2">
      <c r="A64" t="s">
        <v>18</v>
      </c>
      <c r="B64" s="4" t="s">
        <v>77</v>
      </c>
      <c r="C64" s="5">
        <v>46083</v>
      </c>
      <c r="D64" t="s">
        <v>35</v>
      </c>
      <c r="E64" t="s">
        <v>39</v>
      </c>
      <c r="F64" t="s">
        <v>16</v>
      </c>
      <c r="G64" s="6">
        <v>500</v>
      </c>
      <c r="H64" s="7">
        <v>2.5499999999999998</v>
      </c>
      <c r="I64" s="7">
        <v>1274.98</v>
      </c>
    </row>
    <row r="65" spans="1:9" hidden="1" x14ac:dyDescent="0.2">
      <c r="A65" t="s">
        <v>18</v>
      </c>
      <c r="B65" s="4" t="s">
        <v>77</v>
      </c>
      <c r="C65" s="5">
        <v>46083</v>
      </c>
      <c r="D65" t="s">
        <v>41</v>
      </c>
      <c r="E65" t="s">
        <v>39</v>
      </c>
      <c r="F65" t="s">
        <v>16</v>
      </c>
      <c r="G65" s="6">
        <v>500</v>
      </c>
      <c r="H65" s="7">
        <v>5.7000000000000002E-2</v>
      </c>
      <c r="I65" s="7">
        <v>22.03</v>
      </c>
    </row>
    <row r="66" spans="1:9" x14ac:dyDescent="0.2">
      <c r="A66" t="s">
        <v>8</v>
      </c>
      <c r="B66" s="4" t="s">
        <v>77</v>
      </c>
      <c r="C66" s="5">
        <v>46083</v>
      </c>
      <c r="D66" t="s">
        <v>14</v>
      </c>
      <c r="E66" t="s">
        <v>78</v>
      </c>
      <c r="F66" t="s">
        <v>16</v>
      </c>
      <c r="G66" s="6">
        <v>0</v>
      </c>
      <c r="H66" s="7" t="s">
        <v>17</v>
      </c>
      <c r="I66" s="7" t="s">
        <v>17</v>
      </c>
    </row>
    <row r="67" spans="1:9" hidden="1" x14ac:dyDescent="0.2">
      <c r="A67" t="s">
        <v>18</v>
      </c>
      <c r="B67" s="4" t="s">
        <v>77</v>
      </c>
      <c r="C67" s="5">
        <v>46083</v>
      </c>
      <c r="D67" t="s">
        <v>24</v>
      </c>
      <c r="E67" t="s">
        <v>25</v>
      </c>
      <c r="F67" t="s">
        <v>16</v>
      </c>
      <c r="G67" s="6">
        <v>526</v>
      </c>
      <c r="H67" s="7">
        <v>1.7999999999999999E-2</v>
      </c>
      <c r="I67" s="7">
        <v>7.89</v>
      </c>
    </row>
    <row r="68" spans="1:9" hidden="1" x14ac:dyDescent="0.2">
      <c r="A68" s="1" t="s">
        <v>18</v>
      </c>
      <c r="B68" s="8" t="s">
        <v>77</v>
      </c>
      <c r="C68" s="9">
        <v>46083</v>
      </c>
      <c r="D68" s="1" t="s">
        <v>31</v>
      </c>
      <c r="E68" s="1" t="s">
        <v>32</v>
      </c>
      <c r="F68" s="1" t="s">
        <v>16</v>
      </c>
      <c r="G68" s="10">
        <v>600</v>
      </c>
      <c r="H68" s="11" t="s">
        <v>17</v>
      </c>
      <c r="I68" s="11" t="s">
        <v>17</v>
      </c>
    </row>
    <row r="69" spans="1:9" hidden="1" x14ac:dyDescent="0.2">
      <c r="A69" t="s">
        <v>8</v>
      </c>
      <c r="B69" s="4" t="s">
        <v>79</v>
      </c>
      <c r="C69" s="5">
        <v>46080</v>
      </c>
      <c r="D69" t="s">
        <v>21</v>
      </c>
      <c r="E69" t="s">
        <v>78</v>
      </c>
      <c r="F69" t="s">
        <v>16</v>
      </c>
      <c r="G69" s="6">
        <v>9</v>
      </c>
      <c r="H69" s="7" t="s">
        <v>17</v>
      </c>
      <c r="I69" s="7" t="s">
        <v>17</v>
      </c>
    </row>
    <row r="70" spans="1:9" hidden="1" x14ac:dyDescent="0.2">
      <c r="A70" t="s">
        <v>18</v>
      </c>
      <c r="B70" s="4" t="s">
        <v>79</v>
      </c>
      <c r="C70" s="5">
        <v>46080</v>
      </c>
      <c r="D70" t="s">
        <v>20</v>
      </c>
      <c r="E70" t="s">
        <v>78</v>
      </c>
      <c r="F70" t="s">
        <v>16</v>
      </c>
      <c r="G70" s="6">
        <v>9</v>
      </c>
      <c r="H70" s="7" t="s">
        <v>17</v>
      </c>
      <c r="I70" s="7" t="s">
        <v>17</v>
      </c>
    </row>
    <row r="71" spans="1:9" hidden="1" x14ac:dyDescent="0.2">
      <c r="A71" t="s">
        <v>8</v>
      </c>
      <c r="B71" s="4" t="s">
        <v>80</v>
      </c>
      <c r="C71" s="5">
        <v>46078</v>
      </c>
      <c r="D71" t="s">
        <v>81</v>
      </c>
      <c r="E71" t="s">
        <v>76</v>
      </c>
      <c r="F71" t="s">
        <v>16</v>
      </c>
      <c r="G71" s="6">
        <v>200</v>
      </c>
      <c r="H71" s="7">
        <v>87.99</v>
      </c>
      <c r="I71" s="7">
        <v>17598</v>
      </c>
    </row>
    <row r="72" spans="1:9" hidden="1" x14ac:dyDescent="0.2">
      <c r="A72" t="s">
        <v>18</v>
      </c>
      <c r="B72" s="4" t="s">
        <v>82</v>
      </c>
      <c r="C72" s="5">
        <v>46077</v>
      </c>
      <c r="D72" t="s">
        <v>41</v>
      </c>
      <c r="E72" t="s">
        <v>42</v>
      </c>
      <c r="F72" t="s">
        <v>16</v>
      </c>
      <c r="G72" s="6">
        <v>132</v>
      </c>
      <c r="H72" s="7">
        <v>0.97</v>
      </c>
      <c r="I72" s="7">
        <v>128.04</v>
      </c>
    </row>
    <row r="73" spans="1:9" hidden="1" x14ac:dyDescent="0.2">
      <c r="A73" t="s">
        <v>18</v>
      </c>
      <c r="B73" s="4" t="s">
        <v>83</v>
      </c>
      <c r="C73" s="5">
        <v>46073</v>
      </c>
      <c r="D73" t="s">
        <v>41</v>
      </c>
      <c r="E73" t="s">
        <v>32</v>
      </c>
      <c r="F73" t="s">
        <v>16</v>
      </c>
      <c r="G73" s="6">
        <v>500</v>
      </c>
      <c r="H73" s="7">
        <v>8.9999999999999993E-3</v>
      </c>
      <c r="I73" s="7">
        <v>3.46</v>
      </c>
    </row>
    <row r="74" spans="1:9" hidden="1" x14ac:dyDescent="0.2">
      <c r="A74" t="s">
        <v>18</v>
      </c>
      <c r="B74" s="4" t="s">
        <v>83</v>
      </c>
      <c r="C74" s="5">
        <v>46073</v>
      </c>
      <c r="D74" t="s">
        <v>24</v>
      </c>
      <c r="E74" t="s">
        <v>32</v>
      </c>
      <c r="F74" t="s">
        <v>16</v>
      </c>
      <c r="G74" s="6">
        <v>500</v>
      </c>
      <c r="H74" s="7">
        <v>0.47199999999999998</v>
      </c>
      <c r="I74" s="7">
        <v>200.43</v>
      </c>
    </row>
    <row r="75" spans="1:9" hidden="1" x14ac:dyDescent="0.2">
      <c r="A75" s="1" t="s">
        <v>18</v>
      </c>
      <c r="B75" s="8" t="s">
        <v>84</v>
      </c>
      <c r="C75" s="9">
        <v>46072</v>
      </c>
      <c r="D75" s="1" t="s">
        <v>31</v>
      </c>
      <c r="E75" s="1" t="s">
        <v>76</v>
      </c>
      <c r="F75" s="1" t="s">
        <v>16</v>
      </c>
      <c r="G75" s="10">
        <v>200</v>
      </c>
      <c r="H75" s="11" t="s">
        <v>17</v>
      </c>
      <c r="I75" s="11" t="s">
        <v>17</v>
      </c>
    </row>
    <row r="76" spans="1:9" hidden="1" x14ac:dyDescent="0.2">
      <c r="A76" t="s">
        <v>18</v>
      </c>
      <c r="B76" s="4" t="s">
        <v>85</v>
      </c>
      <c r="C76" s="5">
        <v>46071</v>
      </c>
      <c r="D76" t="s">
        <v>86</v>
      </c>
      <c r="E76" t="s">
        <v>87</v>
      </c>
      <c r="F76" t="s">
        <v>88</v>
      </c>
      <c r="G76" s="6">
        <v>7</v>
      </c>
      <c r="H76" s="7">
        <v>38.340000000000003</v>
      </c>
      <c r="I76" s="7">
        <v>268.38</v>
      </c>
    </row>
    <row r="77" spans="1:9" hidden="1" x14ac:dyDescent="0.2">
      <c r="A77" t="s">
        <v>18</v>
      </c>
      <c r="B77" s="4" t="s">
        <v>85</v>
      </c>
      <c r="C77" s="5">
        <v>46071</v>
      </c>
      <c r="D77" t="s">
        <v>41</v>
      </c>
      <c r="E77" t="s">
        <v>47</v>
      </c>
      <c r="F77" t="s">
        <v>16</v>
      </c>
      <c r="G77" s="6">
        <v>147</v>
      </c>
      <c r="H77" s="7">
        <v>0.83</v>
      </c>
      <c r="I77" s="7">
        <v>122.01</v>
      </c>
    </row>
    <row r="78" spans="1:9" hidden="1" x14ac:dyDescent="0.2">
      <c r="A78" t="s">
        <v>18</v>
      </c>
      <c r="B78" s="4" t="s">
        <v>89</v>
      </c>
      <c r="C78" s="5">
        <v>46066</v>
      </c>
      <c r="D78" t="s">
        <v>41</v>
      </c>
      <c r="E78" t="s">
        <v>50</v>
      </c>
      <c r="F78" t="s">
        <v>16</v>
      </c>
      <c r="G78" s="6">
        <v>99</v>
      </c>
      <c r="H78" s="7">
        <v>1.1000000000000001</v>
      </c>
      <c r="I78" s="7">
        <v>108.9</v>
      </c>
    </row>
    <row r="79" spans="1:9" hidden="1" x14ac:dyDescent="0.2">
      <c r="A79" t="s">
        <v>18</v>
      </c>
      <c r="B79" s="4" t="s">
        <v>89</v>
      </c>
      <c r="C79" s="5">
        <v>46066</v>
      </c>
      <c r="D79" t="s">
        <v>41</v>
      </c>
      <c r="E79" t="s">
        <v>51</v>
      </c>
      <c r="F79" t="s">
        <v>16</v>
      </c>
      <c r="G79" s="6">
        <v>129</v>
      </c>
      <c r="H79" s="7">
        <v>0.95</v>
      </c>
      <c r="I79" s="7">
        <v>122.55</v>
      </c>
    </row>
    <row r="80" spans="1:9" hidden="1" x14ac:dyDescent="0.2">
      <c r="A80" t="s">
        <v>18</v>
      </c>
      <c r="B80" s="4" t="s">
        <v>89</v>
      </c>
      <c r="C80" s="5">
        <v>46066</v>
      </c>
      <c r="D80" t="s">
        <v>41</v>
      </c>
      <c r="E80" t="s">
        <v>52</v>
      </c>
      <c r="F80" t="s">
        <v>16</v>
      </c>
      <c r="G80" s="6">
        <v>153</v>
      </c>
      <c r="H80" s="7">
        <v>1</v>
      </c>
      <c r="I80" s="7">
        <v>153</v>
      </c>
    </row>
    <row r="81" spans="1:9" x14ac:dyDescent="0.2">
      <c r="A81" t="s">
        <v>18</v>
      </c>
      <c r="B81" s="4" t="s">
        <v>90</v>
      </c>
      <c r="C81" s="5">
        <v>46065</v>
      </c>
      <c r="D81" t="s">
        <v>28</v>
      </c>
      <c r="E81" t="s">
        <v>78</v>
      </c>
      <c r="F81" t="s">
        <v>16</v>
      </c>
      <c r="G81" s="6">
        <v>9</v>
      </c>
      <c r="H81" s="7" t="s">
        <v>17</v>
      </c>
      <c r="I81" s="7" t="s">
        <v>17</v>
      </c>
    </row>
    <row r="82" spans="1:9" x14ac:dyDescent="0.2">
      <c r="A82" t="s">
        <v>18</v>
      </c>
      <c r="B82" s="4" t="s">
        <v>91</v>
      </c>
      <c r="C82" s="5">
        <v>46063</v>
      </c>
      <c r="D82" t="s">
        <v>28</v>
      </c>
      <c r="E82" t="s">
        <v>70</v>
      </c>
      <c r="F82" t="s">
        <v>16</v>
      </c>
      <c r="G82" s="6">
        <v>44</v>
      </c>
      <c r="H82" s="7" t="s">
        <v>17</v>
      </c>
      <c r="I82" s="7" t="s">
        <v>17</v>
      </c>
    </row>
    <row r="83" spans="1:9" hidden="1" x14ac:dyDescent="0.2">
      <c r="A83" t="s">
        <v>8</v>
      </c>
      <c r="B83" s="4" t="s">
        <v>92</v>
      </c>
      <c r="C83" s="5">
        <v>46062</v>
      </c>
      <c r="D83" t="s">
        <v>93</v>
      </c>
      <c r="E83" t="s">
        <v>55</v>
      </c>
      <c r="F83" t="s">
        <v>16</v>
      </c>
      <c r="G83" s="6">
        <v>0.5</v>
      </c>
      <c r="H83" s="7" t="s">
        <v>17</v>
      </c>
      <c r="I83" s="7" t="s">
        <v>17</v>
      </c>
    </row>
    <row r="84" spans="1:9" hidden="1" x14ac:dyDescent="0.2">
      <c r="A84" t="s">
        <v>18</v>
      </c>
      <c r="B84" s="4" t="s">
        <v>94</v>
      </c>
      <c r="C84" s="5">
        <v>46059</v>
      </c>
      <c r="D84" t="s">
        <v>41</v>
      </c>
      <c r="E84" t="s">
        <v>54</v>
      </c>
      <c r="F84" t="s">
        <v>16</v>
      </c>
      <c r="G84" s="6">
        <v>113</v>
      </c>
      <c r="H84" s="7">
        <v>0.75</v>
      </c>
      <c r="I84" s="7">
        <v>84.75</v>
      </c>
    </row>
    <row r="85" spans="1:9" hidden="1" x14ac:dyDescent="0.2">
      <c r="A85" t="s">
        <v>8</v>
      </c>
      <c r="B85" s="4" t="s">
        <v>95</v>
      </c>
      <c r="C85" s="5">
        <v>46056</v>
      </c>
      <c r="D85" t="s">
        <v>93</v>
      </c>
      <c r="E85" t="s">
        <v>25</v>
      </c>
      <c r="F85" t="s">
        <v>16</v>
      </c>
      <c r="G85" s="6">
        <v>0.6</v>
      </c>
      <c r="H85" s="7" t="s">
        <v>17</v>
      </c>
      <c r="I85" s="7" t="s">
        <v>17</v>
      </c>
    </row>
    <row r="86" spans="1:9" hidden="1" x14ac:dyDescent="0.2">
      <c r="A86" t="s">
        <v>18</v>
      </c>
      <c r="B86" s="4" t="s">
        <v>96</v>
      </c>
      <c r="C86" s="5">
        <v>46055</v>
      </c>
      <c r="D86" t="s">
        <v>24</v>
      </c>
      <c r="E86" t="s">
        <v>25</v>
      </c>
      <c r="F86" t="s">
        <v>16</v>
      </c>
      <c r="G86" s="6">
        <v>326.60000000000002</v>
      </c>
      <c r="H86" s="7">
        <v>1.7999999999999999E-2</v>
      </c>
      <c r="I86" s="7">
        <v>4.9000000000000004</v>
      </c>
    </row>
    <row r="87" spans="1:9" hidden="1" x14ac:dyDescent="0.2">
      <c r="A87" t="s">
        <v>18</v>
      </c>
      <c r="B87" s="4" t="s">
        <v>97</v>
      </c>
      <c r="C87" s="5">
        <v>46050</v>
      </c>
      <c r="D87" t="s">
        <v>24</v>
      </c>
      <c r="E87" t="s">
        <v>37</v>
      </c>
      <c r="F87" t="s">
        <v>16</v>
      </c>
      <c r="G87" s="6">
        <v>700</v>
      </c>
      <c r="H87" s="7">
        <v>0.41899999999999998</v>
      </c>
      <c r="I87" s="7">
        <v>249.55</v>
      </c>
    </row>
    <row r="88" spans="1:9" hidden="1" x14ac:dyDescent="0.2">
      <c r="A88" t="s">
        <v>18</v>
      </c>
      <c r="B88" s="4" t="s">
        <v>97</v>
      </c>
      <c r="C88" s="5">
        <v>46050</v>
      </c>
      <c r="D88" t="s">
        <v>35</v>
      </c>
      <c r="E88" t="s">
        <v>37</v>
      </c>
      <c r="F88" t="s">
        <v>16</v>
      </c>
      <c r="G88" s="6">
        <v>700</v>
      </c>
      <c r="H88" s="7">
        <v>0.51900000000000002</v>
      </c>
      <c r="I88" s="7">
        <v>363.26</v>
      </c>
    </row>
    <row r="89" spans="1:9" hidden="1" x14ac:dyDescent="0.2">
      <c r="A89" t="s">
        <v>18</v>
      </c>
      <c r="B89" s="4" t="s">
        <v>97</v>
      </c>
      <c r="C89" s="5">
        <v>46050</v>
      </c>
      <c r="D89" t="s">
        <v>98</v>
      </c>
      <c r="E89" t="s">
        <v>99</v>
      </c>
      <c r="F89" t="s">
        <v>88</v>
      </c>
      <c r="G89" s="6">
        <v>25.37</v>
      </c>
      <c r="H89" s="7">
        <v>906.25</v>
      </c>
      <c r="I89" s="7">
        <v>22991.82</v>
      </c>
    </row>
    <row r="90" spans="1:9" hidden="1" x14ac:dyDescent="0.2">
      <c r="A90" t="s">
        <v>18</v>
      </c>
      <c r="B90" s="4" t="s">
        <v>100</v>
      </c>
      <c r="C90" s="5">
        <v>46049</v>
      </c>
      <c r="D90" t="s">
        <v>81</v>
      </c>
      <c r="E90" t="s">
        <v>42</v>
      </c>
      <c r="F90" t="s">
        <v>16</v>
      </c>
      <c r="G90" s="6">
        <v>26</v>
      </c>
      <c r="H90" s="7">
        <v>95.587999999999994</v>
      </c>
      <c r="I90" s="7">
        <v>2485.29</v>
      </c>
    </row>
    <row r="91" spans="1:9" hidden="1" x14ac:dyDescent="0.2">
      <c r="A91" t="s">
        <v>18</v>
      </c>
      <c r="B91" s="4" t="s">
        <v>100</v>
      </c>
      <c r="C91" s="5">
        <v>46049</v>
      </c>
      <c r="D91" t="s">
        <v>81</v>
      </c>
      <c r="E91" t="s">
        <v>39</v>
      </c>
      <c r="F91" t="s">
        <v>16</v>
      </c>
      <c r="G91" s="6">
        <v>100</v>
      </c>
      <c r="H91" s="7">
        <v>36.549999999999997</v>
      </c>
      <c r="I91" s="7">
        <v>3655</v>
      </c>
    </row>
    <row r="92" spans="1:9" hidden="1" x14ac:dyDescent="0.2">
      <c r="A92" t="s">
        <v>18</v>
      </c>
      <c r="B92" s="4" t="s">
        <v>100</v>
      </c>
      <c r="C92" s="5">
        <v>46049</v>
      </c>
      <c r="D92" t="s">
        <v>81</v>
      </c>
      <c r="E92" t="s">
        <v>49</v>
      </c>
      <c r="F92" t="s">
        <v>16</v>
      </c>
      <c r="G92" s="6">
        <v>400</v>
      </c>
      <c r="H92" s="7">
        <v>16.948</v>
      </c>
      <c r="I92" s="7">
        <v>6779.2</v>
      </c>
    </row>
    <row r="93" spans="1:9" hidden="1" x14ac:dyDescent="0.2">
      <c r="A93" t="s">
        <v>18</v>
      </c>
      <c r="B93" s="4" t="s">
        <v>100</v>
      </c>
      <c r="C93" s="5">
        <v>46049</v>
      </c>
      <c r="D93" t="s">
        <v>81</v>
      </c>
      <c r="E93" t="s">
        <v>25</v>
      </c>
      <c r="F93" t="s">
        <v>16</v>
      </c>
      <c r="G93" s="6">
        <v>100</v>
      </c>
      <c r="H93" s="7">
        <v>40.159999999999997</v>
      </c>
      <c r="I93" s="7">
        <v>4016</v>
      </c>
    </row>
    <row r="94" spans="1:9" hidden="1" x14ac:dyDescent="0.2">
      <c r="A94" t="s">
        <v>18</v>
      </c>
      <c r="B94" s="4" t="s">
        <v>100</v>
      </c>
      <c r="C94" s="5">
        <v>46049</v>
      </c>
      <c r="D94" t="s">
        <v>81</v>
      </c>
      <c r="E94" t="s">
        <v>36</v>
      </c>
      <c r="F94" t="s">
        <v>16</v>
      </c>
      <c r="G94" s="6">
        <v>100</v>
      </c>
      <c r="H94" s="7">
        <v>33.89</v>
      </c>
      <c r="I94" s="7">
        <v>3389</v>
      </c>
    </row>
    <row r="95" spans="1:9" hidden="1" x14ac:dyDescent="0.2">
      <c r="A95" t="s">
        <v>18</v>
      </c>
      <c r="B95" s="4" t="s">
        <v>100</v>
      </c>
      <c r="C95" s="5">
        <v>46049</v>
      </c>
      <c r="D95" t="s">
        <v>81</v>
      </c>
      <c r="E95" t="s">
        <v>54</v>
      </c>
      <c r="F95" t="s">
        <v>16</v>
      </c>
      <c r="G95" s="6">
        <v>21</v>
      </c>
      <c r="H95" s="7">
        <v>111.63</v>
      </c>
      <c r="I95" s="7">
        <v>2344.23</v>
      </c>
    </row>
    <row r="96" spans="1:9" hidden="1" x14ac:dyDescent="0.2">
      <c r="A96" t="s">
        <v>18</v>
      </c>
      <c r="B96" s="4" t="s">
        <v>100</v>
      </c>
      <c r="C96" s="5">
        <v>46049</v>
      </c>
      <c r="D96" t="s">
        <v>81</v>
      </c>
      <c r="E96" t="s">
        <v>47</v>
      </c>
      <c r="F96" t="s">
        <v>16</v>
      </c>
      <c r="G96" s="6">
        <v>26</v>
      </c>
      <c r="H96" s="7">
        <v>86.09</v>
      </c>
      <c r="I96" s="7">
        <v>2238.34</v>
      </c>
    </row>
    <row r="97" spans="1:9" hidden="1" x14ac:dyDescent="0.2">
      <c r="A97" t="s">
        <v>18</v>
      </c>
      <c r="B97" s="4" t="s">
        <v>101</v>
      </c>
      <c r="C97" s="5">
        <v>46044</v>
      </c>
      <c r="D97" t="s">
        <v>41</v>
      </c>
      <c r="E97" t="s">
        <v>42</v>
      </c>
      <c r="F97" t="s">
        <v>16</v>
      </c>
      <c r="G97" s="6">
        <v>106</v>
      </c>
      <c r="H97" s="7">
        <v>1.01</v>
      </c>
      <c r="I97" s="7">
        <v>107.06</v>
      </c>
    </row>
    <row r="98" spans="1:9" hidden="1" x14ac:dyDescent="0.2">
      <c r="A98" t="s">
        <v>18</v>
      </c>
      <c r="B98" s="4" t="s">
        <v>102</v>
      </c>
      <c r="C98" s="5">
        <v>46038</v>
      </c>
      <c r="D98" t="s">
        <v>41</v>
      </c>
      <c r="E98" t="s">
        <v>49</v>
      </c>
      <c r="F98" t="s">
        <v>16</v>
      </c>
      <c r="G98" s="6">
        <v>300</v>
      </c>
      <c r="H98" s="7">
        <v>2E-3</v>
      </c>
      <c r="I98" s="7">
        <v>0.49</v>
      </c>
    </row>
    <row r="99" spans="1:9" hidden="1" x14ac:dyDescent="0.2">
      <c r="A99" t="s">
        <v>18</v>
      </c>
      <c r="B99" s="4" t="s">
        <v>102</v>
      </c>
      <c r="C99" s="5">
        <v>46038</v>
      </c>
      <c r="D99" t="s">
        <v>35</v>
      </c>
      <c r="E99" t="s">
        <v>49</v>
      </c>
      <c r="F99" t="s">
        <v>16</v>
      </c>
      <c r="G99" s="6">
        <v>300</v>
      </c>
      <c r="H99" s="7">
        <v>0.35</v>
      </c>
      <c r="I99" s="7">
        <v>105</v>
      </c>
    </row>
    <row r="100" spans="1:9" hidden="1" x14ac:dyDescent="0.2">
      <c r="A100" t="s">
        <v>18</v>
      </c>
      <c r="B100" s="4" t="s">
        <v>102</v>
      </c>
      <c r="C100" s="5">
        <v>46038</v>
      </c>
      <c r="D100" t="s">
        <v>41</v>
      </c>
      <c r="E100" t="s">
        <v>47</v>
      </c>
      <c r="F100" t="s">
        <v>16</v>
      </c>
      <c r="G100" s="6">
        <v>121</v>
      </c>
      <c r="H100" s="7">
        <v>0.88</v>
      </c>
      <c r="I100" s="7">
        <v>106.48</v>
      </c>
    </row>
    <row r="101" spans="1:9" hidden="1" x14ac:dyDescent="0.2">
      <c r="A101" t="s">
        <v>18</v>
      </c>
      <c r="B101" s="4" t="s">
        <v>103</v>
      </c>
      <c r="C101" s="5">
        <v>46037</v>
      </c>
      <c r="D101" t="s">
        <v>41</v>
      </c>
      <c r="E101" t="s">
        <v>50</v>
      </c>
      <c r="F101" t="s">
        <v>16</v>
      </c>
      <c r="G101" s="6">
        <v>99</v>
      </c>
      <c r="H101" s="7">
        <v>1.1000000000000001</v>
      </c>
      <c r="I101" s="7">
        <v>108.9</v>
      </c>
    </row>
    <row r="102" spans="1:9" hidden="1" x14ac:dyDescent="0.2">
      <c r="A102" t="s">
        <v>18</v>
      </c>
      <c r="B102" s="4" t="s">
        <v>103</v>
      </c>
      <c r="C102" s="5">
        <v>46037</v>
      </c>
      <c r="D102" t="s">
        <v>41</v>
      </c>
      <c r="E102" t="s">
        <v>51</v>
      </c>
      <c r="F102" t="s">
        <v>16</v>
      </c>
      <c r="G102" s="6">
        <v>129</v>
      </c>
      <c r="H102" s="7">
        <v>1.45</v>
      </c>
      <c r="I102" s="7">
        <v>187.05</v>
      </c>
    </row>
    <row r="103" spans="1:9" hidden="1" x14ac:dyDescent="0.2">
      <c r="A103" t="s">
        <v>18</v>
      </c>
      <c r="B103" s="4" t="s">
        <v>103</v>
      </c>
      <c r="C103" s="5">
        <v>46037</v>
      </c>
      <c r="D103" t="s">
        <v>41</v>
      </c>
      <c r="E103" t="s">
        <v>52</v>
      </c>
      <c r="F103" t="s">
        <v>16</v>
      </c>
      <c r="G103" s="6">
        <v>153</v>
      </c>
      <c r="H103" s="7">
        <v>0.86</v>
      </c>
      <c r="I103" s="7">
        <v>131.58000000000001</v>
      </c>
    </row>
    <row r="104" spans="1:9" hidden="1" x14ac:dyDescent="0.2">
      <c r="A104" t="s">
        <v>18</v>
      </c>
      <c r="B104" s="4" t="s">
        <v>104</v>
      </c>
      <c r="C104" s="5">
        <v>46036</v>
      </c>
      <c r="D104" t="s">
        <v>67</v>
      </c>
      <c r="E104" t="s">
        <v>105</v>
      </c>
      <c r="F104" t="s">
        <v>16</v>
      </c>
      <c r="G104" s="6">
        <v>0.46</v>
      </c>
      <c r="H104" s="7">
        <v>67.978999999999999</v>
      </c>
      <c r="I104" s="7">
        <v>30.99</v>
      </c>
    </row>
    <row r="105" spans="1:9" hidden="1" x14ac:dyDescent="0.2">
      <c r="A105" t="s">
        <v>18</v>
      </c>
      <c r="B105" s="4" t="s">
        <v>106</v>
      </c>
      <c r="C105" s="5">
        <v>46034</v>
      </c>
      <c r="D105" t="s">
        <v>81</v>
      </c>
      <c r="E105" t="s">
        <v>42</v>
      </c>
      <c r="F105" t="s">
        <v>16</v>
      </c>
      <c r="G105" s="6">
        <v>30</v>
      </c>
      <c r="H105" s="7">
        <v>95.784999999999997</v>
      </c>
      <c r="I105" s="7">
        <v>2873.55</v>
      </c>
    </row>
    <row r="106" spans="1:9" hidden="1" x14ac:dyDescent="0.2">
      <c r="A106" t="s">
        <v>18</v>
      </c>
      <c r="B106" s="4" t="s">
        <v>106</v>
      </c>
      <c r="C106" s="5">
        <v>46034</v>
      </c>
      <c r="D106" t="s">
        <v>24</v>
      </c>
      <c r="E106" t="s">
        <v>63</v>
      </c>
      <c r="F106" t="s">
        <v>16</v>
      </c>
      <c r="G106" s="6">
        <v>400</v>
      </c>
      <c r="H106" s="7">
        <v>8.3000000000000004E-2</v>
      </c>
      <c r="I106" s="7">
        <v>28.06</v>
      </c>
    </row>
    <row r="107" spans="1:9" hidden="1" x14ac:dyDescent="0.2">
      <c r="A107" t="s">
        <v>18</v>
      </c>
      <c r="B107" s="4" t="s">
        <v>106</v>
      </c>
      <c r="C107" s="5">
        <v>46034</v>
      </c>
      <c r="D107" t="s">
        <v>24</v>
      </c>
      <c r="E107" t="s">
        <v>63</v>
      </c>
      <c r="F107" t="s">
        <v>16</v>
      </c>
      <c r="G107" s="6">
        <v>400</v>
      </c>
      <c r="H107" s="7">
        <v>7.3999999999999996E-2</v>
      </c>
      <c r="I107" s="7">
        <v>25.33</v>
      </c>
    </row>
    <row r="108" spans="1:9" hidden="1" x14ac:dyDescent="0.2">
      <c r="A108" t="s">
        <v>8</v>
      </c>
      <c r="B108" s="4" t="s">
        <v>106</v>
      </c>
      <c r="C108" s="5">
        <v>46034</v>
      </c>
      <c r="D108" t="s">
        <v>81</v>
      </c>
      <c r="E108" t="s">
        <v>63</v>
      </c>
      <c r="F108" t="s">
        <v>16</v>
      </c>
      <c r="G108" s="6">
        <v>400</v>
      </c>
      <c r="H108" s="7">
        <v>14.41</v>
      </c>
      <c r="I108" s="7">
        <v>5764</v>
      </c>
    </row>
    <row r="109" spans="1:9" hidden="1" x14ac:dyDescent="0.2">
      <c r="A109" t="s">
        <v>8</v>
      </c>
      <c r="B109" s="4" t="s">
        <v>106</v>
      </c>
      <c r="C109" s="5">
        <v>46034</v>
      </c>
      <c r="D109" t="s">
        <v>81</v>
      </c>
      <c r="E109" t="s">
        <v>107</v>
      </c>
      <c r="F109" t="s">
        <v>16</v>
      </c>
      <c r="G109" s="6">
        <v>400</v>
      </c>
      <c r="H109" s="7">
        <v>21.75</v>
      </c>
      <c r="I109" s="7">
        <v>8700</v>
      </c>
    </row>
    <row r="110" spans="1:9" hidden="1" x14ac:dyDescent="0.2">
      <c r="A110" t="s">
        <v>18</v>
      </c>
      <c r="B110" s="4" t="s">
        <v>106</v>
      </c>
      <c r="C110" s="5">
        <v>46034</v>
      </c>
      <c r="D110" t="s">
        <v>81</v>
      </c>
      <c r="E110" t="s">
        <v>39</v>
      </c>
      <c r="F110" t="s">
        <v>16</v>
      </c>
      <c r="G110" s="6">
        <v>200</v>
      </c>
      <c r="H110" s="7">
        <v>35.090000000000003</v>
      </c>
      <c r="I110" s="7">
        <v>7018</v>
      </c>
    </row>
    <row r="111" spans="1:9" hidden="1" x14ac:dyDescent="0.2">
      <c r="A111" t="s">
        <v>18</v>
      </c>
      <c r="B111" s="4" t="s">
        <v>106</v>
      </c>
      <c r="C111" s="5">
        <v>46034</v>
      </c>
      <c r="D111" t="s">
        <v>81</v>
      </c>
      <c r="E111" t="s">
        <v>49</v>
      </c>
      <c r="F111" t="s">
        <v>16</v>
      </c>
      <c r="G111" s="6">
        <v>300</v>
      </c>
      <c r="H111" s="7">
        <v>16.190000000000001</v>
      </c>
      <c r="I111" s="7">
        <v>4857</v>
      </c>
    </row>
    <row r="112" spans="1:9" hidden="1" x14ac:dyDescent="0.2">
      <c r="A112" t="s">
        <v>18</v>
      </c>
      <c r="B112" s="4" t="s">
        <v>106</v>
      </c>
      <c r="C112" s="5">
        <v>46034</v>
      </c>
      <c r="D112" t="s">
        <v>81</v>
      </c>
      <c r="E112" t="s">
        <v>25</v>
      </c>
      <c r="F112" t="s">
        <v>16</v>
      </c>
      <c r="G112" s="6">
        <v>100</v>
      </c>
      <c r="H112" s="7">
        <v>37.08</v>
      </c>
      <c r="I112" s="7">
        <v>3708</v>
      </c>
    </row>
    <row r="113" spans="1:9" hidden="1" x14ac:dyDescent="0.2">
      <c r="A113" t="s">
        <v>18</v>
      </c>
      <c r="B113" s="4" t="s">
        <v>106</v>
      </c>
      <c r="C113" s="5">
        <v>46034</v>
      </c>
      <c r="D113" t="s">
        <v>81</v>
      </c>
      <c r="E113" t="s">
        <v>36</v>
      </c>
      <c r="F113" t="s">
        <v>16</v>
      </c>
      <c r="G113" s="6">
        <v>100</v>
      </c>
      <c r="H113" s="7">
        <v>33.65</v>
      </c>
      <c r="I113" s="7">
        <v>3365</v>
      </c>
    </row>
    <row r="114" spans="1:9" hidden="1" x14ac:dyDescent="0.2">
      <c r="A114" t="s">
        <v>18</v>
      </c>
      <c r="B114" s="4" t="s">
        <v>106</v>
      </c>
      <c r="C114" s="5">
        <v>46034</v>
      </c>
      <c r="D114" t="s">
        <v>81</v>
      </c>
      <c r="E114" t="s">
        <v>54</v>
      </c>
      <c r="F114" t="s">
        <v>16</v>
      </c>
      <c r="G114" s="6">
        <v>27</v>
      </c>
      <c r="H114" s="7">
        <v>111.092</v>
      </c>
      <c r="I114" s="7">
        <v>2999.48</v>
      </c>
    </row>
    <row r="115" spans="1:9" hidden="1" x14ac:dyDescent="0.2">
      <c r="A115" t="s">
        <v>18</v>
      </c>
      <c r="B115" s="4" t="s">
        <v>106</v>
      </c>
      <c r="C115" s="5">
        <v>46034</v>
      </c>
      <c r="D115" t="s">
        <v>81</v>
      </c>
      <c r="E115" t="s">
        <v>47</v>
      </c>
      <c r="F115" t="s">
        <v>16</v>
      </c>
      <c r="G115" s="6">
        <v>37</v>
      </c>
      <c r="H115" s="7">
        <v>84.703999999999994</v>
      </c>
      <c r="I115" s="7">
        <v>3134.05</v>
      </c>
    </row>
    <row r="116" spans="1:9" hidden="1" x14ac:dyDescent="0.2">
      <c r="A116" t="s">
        <v>18</v>
      </c>
      <c r="B116" s="4" t="s">
        <v>106</v>
      </c>
      <c r="C116" s="5">
        <v>46034</v>
      </c>
      <c r="D116" t="s">
        <v>81</v>
      </c>
      <c r="E116" t="s">
        <v>76</v>
      </c>
      <c r="F116" t="s">
        <v>16</v>
      </c>
      <c r="G116" s="6">
        <v>100</v>
      </c>
      <c r="H116" s="7">
        <v>75.13</v>
      </c>
      <c r="I116" s="7">
        <v>7513</v>
      </c>
    </row>
    <row r="117" spans="1:9" hidden="1" x14ac:dyDescent="0.2">
      <c r="A117" t="s">
        <v>18</v>
      </c>
      <c r="B117" s="4" t="s">
        <v>108</v>
      </c>
      <c r="C117" s="5">
        <v>46030</v>
      </c>
      <c r="D117" t="s">
        <v>41</v>
      </c>
      <c r="E117" t="s">
        <v>54</v>
      </c>
      <c r="F117" t="s">
        <v>16</v>
      </c>
      <c r="G117" s="6">
        <v>65</v>
      </c>
      <c r="H117" s="7">
        <v>0.75</v>
      </c>
      <c r="I117" s="7">
        <v>48.75</v>
      </c>
    </row>
    <row r="118" spans="1:9" hidden="1" x14ac:dyDescent="0.2">
      <c r="A118" t="s">
        <v>18</v>
      </c>
      <c r="B118" s="4" t="s">
        <v>109</v>
      </c>
      <c r="C118" s="5">
        <v>46029</v>
      </c>
      <c r="D118" t="s">
        <v>35</v>
      </c>
      <c r="E118" t="s">
        <v>76</v>
      </c>
      <c r="F118" t="s">
        <v>16</v>
      </c>
      <c r="G118" s="6">
        <v>200</v>
      </c>
      <c r="H118" s="7">
        <v>1.244</v>
      </c>
      <c r="I118" s="7">
        <v>248.82</v>
      </c>
    </row>
    <row r="119" spans="1:9" hidden="1" x14ac:dyDescent="0.2">
      <c r="A119" t="s">
        <v>18</v>
      </c>
      <c r="B119" s="4" t="s">
        <v>110</v>
      </c>
      <c r="C119" s="5">
        <v>46024</v>
      </c>
      <c r="D119" t="s">
        <v>24</v>
      </c>
      <c r="E119" t="s">
        <v>25</v>
      </c>
      <c r="F119" t="s">
        <v>16</v>
      </c>
      <c r="G119" s="6">
        <v>220</v>
      </c>
      <c r="H119" s="7">
        <v>1.7999999999999999E-2</v>
      </c>
      <c r="I119" s="7">
        <v>3.3</v>
      </c>
    </row>
    <row r="120" spans="1:9" hidden="1" x14ac:dyDescent="0.2">
      <c r="A120" s="12" t="s">
        <v>18</v>
      </c>
      <c r="B120" s="13" t="s">
        <v>110</v>
      </c>
      <c r="C120" s="14">
        <v>46024</v>
      </c>
      <c r="D120" s="12" t="s">
        <v>111</v>
      </c>
      <c r="E120" s="12" t="s">
        <v>55</v>
      </c>
      <c r="F120" s="12" t="s">
        <v>16</v>
      </c>
      <c r="G120" s="15">
        <v>5.5</v>
      </c>
      <c r="H120" s="16" t="s">
        <v>17</v>
      </c>
      <c r="I120" s="16" t="s">
        <v>17</v>
      </c>
    </row>
    <row r="121" spans="1:9" hidden="1" x14ac:dyDescent="0.2">
      <c r="A121" t="s">
        <v>18</v>
      </c>
      <c r="B121" s="4" t="s">
        <v>112</v>
      </c>
      <c r="C121" s="5">
        <v>46021</v>
      </c>
      <c r="D121" t="s">
        <v>81</v>
      </c>
      <c r="E121" t="s">
        <v>42</v>
      </c>
      <c r="F121" t="s">
        <v>16</v>
      </c>
      <c r="G121" s="6">
        <v>76</v>
      </c>
      <c r="H121" s="7">
        <v>95.37</v>
      </c>
      <c r="I121" s="7">
        <v>7248.12</v>
      </c>
    </row>
    <row r="122" spans="1:9" hidden="1" x14ac:dyDescent="0.2">
      <c r="A122" t="s">
        <v>8</v>
      </c>
      <c r="B122" s="4" t="s">
        <v>112</v>
      </c>
      <c r="C122" s="5">
        <v>46021</v>
      </c>
      <c r="D122" t="s">
        <v>81</v>
      </c>
      <c r="E122" t="s">
        <v>63</v>
      </c>
      <c r="F122" t="s">
        <v>16</v>
      </c>
      <c r="G122" s="6">
        <v>300</v>
      </c>
      <c r="H122" s="7">
        <v>13.6</v>
      </c>
      <c r="I122" s="7">
        <v>4080</v>
      </c>
    </row>
    <row r="123" spans="1:9" hidden="1" x14ac:dyDescent="0.2">
      <c r="A123" t="s">
        <v>8</v>
      </c>
      <c r="B123" s="4" t="s">
        <v>112</v>
      </c>
      <c r="C123" s="5">
        <v>46021</v>
      </c>
      <c r="D123" t="s">
        <v>81</v>
      </c>
      <c r="E123" t="s">
        <v>107</v>
      </c>
      <c r="F123" t="s">
        <v>16</v>
      </c>
      <c r="G123" s="6">
        <v>300</v>
      </c>
      <c r="H123" s="7">
        <v>21.67</v>
      </c>
      <c r="I123" s="7">
        <v>6501</v>
      </c>
    </row>
    <row r="124" spans="1:9" hidden="1" x14ac:dyDescent="0.2">
      <c r="A124" t="s">
        <v>18</v>
      </c>
      <c r="B124" s="4" t="s">
        <v>112</v>
      </c>
      <c r="C124" s="5">
        <v>46021</v>
      </c>
      <c r="D124" t="s">
        <v>81</v>
      </c>
      <c r="E124" t="s">
        <v>39</v>
      </c>
      <c r="F124" t="s">
        <v>16</v>
      </c>
      <c r="G124" s="6">
        <v>200</v>
      </c>
      <c r="H124" s="7">
        <v>35.619999999999997</v>
      </c>
      <c r="I124" s="7">
        <v>7124</v>
      </c>
    </row>
    <row r="125" spans="1:9" hidden="1" x14ac:dyDescent="0.2">
      <c r="A125" t="s">
        <v>18</v>
      </c>
      <c r="B125" s="4" t="s">
        <v>112</v>
      </c>
      <c r="C125" s="5">
        <v>46021</v>
      </c>
      <c r="D125" t="s">
        <v>81</v>
      </c>
      <c r="E125" t="s">
        <v>49</v>
      </c>
      <c r="F125" t="s">
        <v>16</v>
      </c>
      <c r="G125" s="6">
        <v>300</v>
      </c>
      <c r="H125" s="7">
        <v>16.399999999999999</v>
      </c>
      <c r="I125" s="7">
        <v>4920</v>
      </c>
    </row>
    <row r="126" spans="1:9" hidden="1" x14ac:dyDescent="0.2">
      <c r="A126" t="s">
        <v>18</v>
      </c>
      <c r="B126" s="4" t="s">
        <v>112</v>
      </c>
      <c r="C126" s="5">
        <v>46021</v>
      </c>
      <c r="D126" t="s">
        <v>81</v>
      </c>
      <c r="E126" t="s">
        <v>44</v>
      </c>
      <c r="F126" t="s">
        <v>16</v>
      </c>
      <c r="G126" s="6">
        <v>200</v>
      </c>
      <c r="H126" s="7">
        <v>31.145</v>
      </c>
      <c r="I126" s="7">
        <v>6229</v>
      </c>
    </row>
    <row r="127" spans="1:9" hidden="1" x14ac:dyDescent="0.2">
      <c r="A127" t="s">
        <v>18</v>
      </c>
      <c r="B127" s="4" t="s">
        <v>112</v>
      </c>
      <c r="C127" s="5">
        <v>46021</v>
      </c>
      <c r="D127" t="s">
        <v>81</v>
      </c>
      <c r="E127" t="s">
        <v>57</v>
      </c>
      <c r="F127" t="s">
        <v>16</v>
      </c>
      <c r="G127" s="6">
        <v>300</v>
      </c>
      <c r="H127" s="7">
        <v>14.81</v>
      </c>
      <c r="I127" s="7">
        <v>4443</v>
      </c>
    </row>
    <row r="128" spans="1:9" hidden="1" x14ac:dyDescent="0.2">
      <c r="A128" t="s">
        <v>8</v>
      </c>
      <c r="B128" s="4" t="s">
        <v>112</v>
      </c>
      <c r="C128" s="5">
        <v>46021</v>
      </c>
      <c r="D128" t="s">
        <v>81</v>
      </c>
      <c r="E128" t="s">
        <v>113</v>
      </c>
      <c r="F128" t="s">
        <v>16</v>
      </c>
      <c r="G128" s="6">
        <v>165</v>
      </c>
      <c r="H128" s="7">
        <v>68.935000000000002</v>
      </c>
      <c r="I128" s="7">
        <v>11374.28</v>
      </c>
    </row>
    <row r="129" spans="1:9" hidden="1" x14ac:dyDescent="0.2">
      <c r="A129" t="s">
        <v>18</v>
      </c>
      <c r="B129" s="4" t="s">
        <v>112</v>
      </c>
      <c r="C129" s="5">
        <v>46021</v>
      </c>
      <c r="D129" t="s">
        <v>81</v>
      </c>
      <c r="E129" t="s">
        <v>25</v>
      </c>
      <c r="F129" t="s">
        <v>16</v>
      </c>
      <c r="G129" s="6">
        <v>100</v>
      </c>
      <c r="H129" s="7">
        <v>35.9</v>
      </c>
      <c r="I129" s="7">
        <v>3590</v>
      </c>
    </row>
    <row r="130" spans="1:9" hidden="1" x14ac:dyDescent="0.2">
      <c r="A130" t="s">
        <v>18</v>
      </c>
      <c r="B130" s="4" t="s">
        <v>112</v>
      </c>
      <c r="C130" s="5">
        <v>46021</v>
      </c>
      <c r="D130" t="s">
        <v>81</v>
      </c>
      <c r="E130" t="s">
        <v>36</v>
      </c>
      <c r="F130" t="s">
        <v>16</v>
      </c>
      <c r="G130" s="6">
        <v>100</v>
      </c>
      <c r="H130" s="7">
        <v>33.97</v>
      </c>
      <c r="I130" s="7">
        <v>3397</v>
      </c>
    </row>
    <row r="131" spans="1:9" hidden="1" x14ac:dyDescent="0.2">
      <c r="A131" t="s">
        <v>18</v>
      </c>
      <c r="B131" s="4" t="s">
        <v>112</v>
      </c>
      <c r="C131" s="5">
        <v>46021</v>
      </c>
      <c r="D131" t="s">
        <v>81</v>
      </c>
      <c r="E131" t="s">
        <v>54</v>
      </c>
      <c r="F131" t="s">
        <v>16</v>
      </c>
      <c r="G131" s="6">
        <v>65</v>
      </c>
      <c r="H131" s="7">
        <v>111.327</v>
      </c>
      <c r="I131" s="7">
        <v>7236.26</v>
      </c>
    </row>
    <row r="132" spans="1:9" hidden="1" x14ac:dyDescent="0.2">
      <c r="A132" t="s">
        <v>8</v>
      </c>
      <c r="B132" s="4" t="s">
        <v>112</v>
      </c>
      <c r="C132" s="5">
        <v>46021</v>
      </c>
      <c r="D132" t="s">
        <v>81</v>
      </c>
      <c r="E132" t="s">
        <v>114</v>
      </c>
      <c r="F132" t="s">
        <v>16</v>
      </c>
      <c r="G132" s="6">
        <v>188</v>
      </c>
      <c r="H132" s="7">
        <v>92.584000000000003</v>
      </c>
      <c r="I132" s="7">
        <v>17405.79</v>
      </c>
    </row>
    <row r="133" spans="1:9" hidden="1" x14ac:dyDescent="0.2">
      <c r="A133" t="s">
        <v>18</v>
      </c>
      <c r="B133" s="4" t="s">
        <v>112</v>
      </c>
      <c r="C133" s="5">
        <v>46021</v>
      </c>
      <c r="D133" t="s">
        <v>81</v>
      </c>
      <c r="E133" t="s">
        <v>47</v>
      </c>
      <c r="F133" t="s">
        <v>16</v>
      </c>
      <c r="G133" s="6">
        <v>84</v>
      </c>
      <c r="H133" s="7">
        <v>84.204999999999998</v>
      </c>
      <c r="I133" s="7">
        <v>7073.22</v>
      </c>
    </row>
    <row r="134" spans="1:9" hidden="1" x14ac:dyDescent="0.2">
      <c r="A134" t="s">
        <v>18</v>
      </c>
      <c r="B134" s="4" t="s">
        <v>112</v>
      </c>
      <c r="C134" s="5">
        <v>46021</v>
      </c>
      <c r="D134" t="s">
        <v>81</v>
      </c>
      <c r="E134" t="s">
        <v>32</v>
      </c>
      <c r="F134" t="s">
        <v>16</v>
      </c>
      <c r="G134" s="6">
        <v>100</v>
      </c>
      <c r="H134" s="7">
        <v>30.15</v>
      </c>
      <c r="I134" s="7">
        <v>3015</v>
      </c>
    </row>
    <row r="135" spans="1:9" hidden="1" x14ac:dyDescent="0.2">
      <c r="A135" t="s">
        <v>8</v>
      </c>
      <c r="B135" s="4" t="s">
        <v>112</v>
      </c>
      <c r="C135" s="5">
        <v>46021</v>
      </c>
      <c r="D135" t="s">
        <v>81</v>
      </c>
      <c r="E135" t="s">
        <v>76</v>
      </c>
      <c r="F135" t="s">
        <v>16</v>
      </c>
      <c r="G135" s="6">
        <v>100</v>
      </c>
      <c r="H135" s="7">
        <v>73.14</v>
      </c>
      <c r="I135" s="7">
        <v>7314</v>
      </c>
    </row>
    <row r="136" spans="1:9" hidden="1" x14ac:dyDescent="0.2">
      <c r="A136" s="12" t="s">
        <v>18</v>
      </c>
      <c r="B136" s="13" t="s">
        <v>115</v>
      </c>
      <c r="C136" s="14">
        <v>46020</v>
      </c>
      <c r="D136" s="12" t="s">
        <v>111</v>
      </c>
      <c r="E136" s="12" t="s">
        <v>25</v>
      </c>
      <c r="F136" s="12" t="s">
        <v>16</v>
      </c>
      <c r="G136" s="15">
        <v>6.6</v>
      </c>
      <c r="H136" s="16" t="s">
        <v>17</v>
      </c>
      <c r="I136" s="16" t="s">
        <v>17</v>
      </c>
    </row>
    <row r="137" spans="1:9" hidden="1" x14ac:dyDescent="0.2">
      <c r="A137" t="s">
        <v>18</v>
      </c>
      <c r="B137" s="4" t="s">
        <v>116</v>
      </c>
      <c r="C137" s="5">
        <v>46017</v>
      </c>
      <c r="D137" t="s">
        <v>117</v>
      </c>
      <c r="E137" t="s">
        <v>118</v>
      </c>
      <c r="F137" t="s">
        <v>88</v>
      </c>
      <c r="G137" s="6">
        <v>9180</v>
      </c>
      <c r="H137" s="7">
        <v>1.08</v>
      </c>
      <c r="I137" s="7">
        <v>9999.43</v>
      </c>
    </row>
    <row r="138" spans="1:9" hidden="1" x14ac:dyDescent="0.2">
      <c r="A138" t="s">
        <v>18</v>
      </c>
      <c r="B138" s="4" t="s">
        <v>116</v>
      </c>
      <c r="C138" s="5">
        <v>46017</v>
      </c>
      <c r="D138" t="s">
        <v>119</v>
      </c>
      <c r="E138" t="s">
        <v>87</v>
      </c>
      <c r="F138" t="s">
        <v>88</v>
      </c>
      <c r="G138" s="6">
        <v>7</v>
      </c>
      <c r="H138" s="7">
        <v>1048.6400000000001</v>
      </c>
      <c r="I138" s="7">
        <v>7340.53</v>
      </c>
    </row>
    <row r="139" spans="1:9" hidden="1" x14ac:dyDescent="0.2">
      <c r="A139" t="s">
        <v>18</v>
      </c>
      <c r="B139" s="4" t="s">
        <v>120</v>
      </c>
      <c r="C139" s="5">
        <v>46014</v>
      </c>
      <c r="D139" t="s">
        <v>35</v>
      </c>
      <c r="E139" t="s">
        <v>44</v>
      </c>
      <c r="F139" t="s">
        <v>16</v>
      </c>
      <c r="G139" s="6">
        <v>300</v>
      </c>
      <c r="H139" s="7">
        <v>0.88100000000000001</v>
      </c>
      <c r="I139" s="7">
        <v>264.42</v>
      </c>
    </row>
    <row r="140" spans="1:9" hidden="1" x14ac:dyDescent="0.2">
      <c r="A140" t="s">
        <v>18</v>
      </c>
      <c r="B140" s="4" t="s">
        <v>120</v>
      </c>
      <c r="C140" s="5">
        <v>46014</v>
      </c>
      <c r="D140" t="s">
        <v>35</v>
      </c>
      <c r="E140" t="s">
        <v>44</v>
      </c>
      <c r="F140" t="s">
        <v>16</v>
      </c>
      <c r="G140" s="6">
        <v>300</v>
      </c>
      <c r="H140" s="7">
        <v>0.876</v>
      </c>
      <c r="I140" s="7">
        <v>262.94</v>
      </c>
    </row>
    <row r="141" spans="1:9" hidden="1" x14ac:dyDescent="0.2">
      <c r="A141" t="s">
        <v>18</v>
      </c>
      <c r="B141" s="4" t="s">
        <v>121</v>
      </c>
      <c r="C141" s="5">
        <v>46013</v>
      </c>
      <c r="D141" t="s">
        <v>24</v>
      </c>
      <c r="E141" t="s">
        <v>32</v>
      </c>
      <c r="F141" t="s">
        <v>16</v>
      </c>
      <c r="G141" s="6">
        <v>500</v>
      </c>
      <c r="H141" s="7">
        <v>0.13500000000000001</v>
      </c>
      <c r="I141" s="7">
        <v>57.4</v>
      </c>
    </row>
    <row r="142" spans="1:9" hidden="1" x14ac:dyDescent="0.2">
      <c r="A142" t="s">
        <v>18</v>
      </c>
      <c r="B142" s="4" t="s">
        <v>121</v>
      </c>
      <c r="C142" s="5">
        <v>46013</v>
      </c>
      <c r="D142" t="s">
        <v>35</v>
      </c>
      <c r="E142" t="s">
        <v>32</v>
      </c>
      <c r="F142" t="s">
        <v>16</v>
      </c>
      <c r="G142" s="6">
        <v>500</v>
      </c>
      <c r="H142" s="7">
        <v>0.20100000000000001</v>
      </c>
      <c r="I142" s="7">
        <v>100.46</v>
      </c>
    </row>
    <row r="143" spans="1:9" hidden="1" x14ac:dyDescent="0.2">
      <c r="A143" t="s">
        <v>18</v>
      </c>
      <c r="B143" s="4" t="s">
        <v>122</v>
      </c>
      <c r="C143" s="5">
        <v>46010</v>
      </c>
      <c r="D143" t="s">
        <v>24</v>
      </c>
      <c r="E143" t="s">
        <v>57</v>
      </c>
      <c r="F143" t="s">
        <v>16</v>
      </c>
      <c r="G143" s="6">
        <v>830</v>
      </c>
      <c r="H143" s="7">
        <v>0.23499999999999999</v>
      </c>
      <c r="I143" s="7">
        <v>165.7</v>
      </c>
    </row>
    <row r="144" spans="1:9" hidden="1" x14ac:dyDescent="0.2">
      <c r="A144" t="s">
        <v>18</v>
      </c>
      <c r="B144" s="4" t="s">
        <v>122</v>
      </c>
      <c r="C144" s="5">
        <v>46010</v>
      </c>
      <c r="D144" t="s">
        <v>35</v>
      </c>
      <c r="E144" t="s">
        <v>123</v>
      </c>
      <c r="F144" t="s">
        <v>16</v>
      </c>
      <c r="G144" s="6">
        <v>220</v>
      </c>
      <c r="H144" s="7">
        <v>1.8680000000000001</v>
      </c>
      <c r="I144" s="7">
        <v>411</v>
      </c>
    </row>
    <row r="145" spans="1:9" hidden="1" x14ac:dyDescent="0.2">
      <c r="A145" s="1" t="s">
        <v>18</v>
      </c>
      <c r="B145" s="8" t="s">
        <v>124</v>
      </c>
      <c r="C145" s="9">
        <v>46009</v>
      </c>
      <c r="D145" s="1" t="s">
        <v>31</v>
      </c>
      <c r="E145" s="1" t="s">
        <v>55</v>
      </c>
      <c r="F145" s="1" t="s">
        <v>16</v>
      </c>
      <c r="G145" s="10">
        <v>110</v>
      </c>
      <c r="H145" s="11" t="s">
        <v>17</v>
      </c>
      <c r="I145" s="11" t="s">
        <v>17</v>
      </c>
    </row>
    <row r="146" spans="1:9" hidden="1" x14ac:dyDescent="0.2">
      <c r="A146" t="s">
        <v>18</v>
      </c>
      <c r="B146" s="4" t="s">
        <v>125</v>
      </c>
      <c r="C146" s="5">
        <v>46008</v>
      </c>
      <c r="D146" t="s">
        <v>35</v>
      </c>
      <c r="E146" t="s">
        <v>126</v>
      </c>
      <c r="F146" t="s">
        <v>16</v>
      </c>
      <c r="G146" s="6">
        <v>400</v>
      </c>
      <c r="H146" s="7">
        <v>0.122</v>
      </c>
      <c r="I146" s="7">
        <v>48.68</v>
      </c>
    </row>
    <row r="147" spans="1:9" hidden="1" x14ac:dyDescent="0.2">
      <c r="A147" t="s">
        <v>18</v>
      </c>
      <c r="B147" s="4" t="s">
        <v>125</v>
      </c>
      <c r="C147" s="5">
        <v>46008</v>
      </c>
      <c r="D147" t="s">
        <v>24</v>
      </c>
      <c r="E147" t="s">
        <v>126</v>
      </c>
      <c r="F147" t="s">
        <v>16</v>
      </c>
      <c r="G147" s="6">
        <v>400</v>
      </c>
      <c r="H147" s="7">
        <v>9.7000000000000003E-2</v>
      </c>
      <c r="I147" s="7">
        <v>33.049999999999997</v>
      </c>
    </row>
    <row r="148" spans="1:9" hidden="1" x14ac:dyDescent="0.2">
      <c r="A148" t="s">
        <v>18</v>
      </c>
      <c r="B148" s="4" t="s">
        <v>125</v>
      </c>
      <c r="C148" s="5">
        <v>46008</v>
      </c>
      <c r="D148" t="s">
        <v>24</v>
      </c>
      <c r="E148" t="s">
        <v>126</v>
      </c>
      <c r="F148" t="s">
        <v>16</v>
      </c>
      <c r="G148" s="6">
        <v>400</v>
      </c>
      <c r="H148" s="7">
        <v>9.8000000000000004E-2</v>
      </c>
      <c r="I148" s="7">
        <v>33.21</v>
      </c>
    </row>
    <row r="149" spans="1:9" hidden="1" x14ac:dyDescent="0.2">
      <c r="A149" t="s">
        <v>18</v>
      </c>
      <c r="B149" s="4" t="s">
        <v>125</v>
      </c>
      <c r="C149" s="5">
        <v>46008</v>
      </c>
      <c r="D149" t="s">
        <v>24</v>
      </c>
      <c r="E149" t="s">
        <v>126</v>
      </c>
      <c r="F149" t="s">
        <v>16</v>
      </c>
      <c r="G149" s="6">
        <v>400</v>
      </c>
      <c r="H149" s="7">
        <v>9.8000000000000004E-2</v>
      </c>
      <c r="I149" s="7">
        <v>33.21</v>
      </c>
    </row>
    <row r="150" spans="1:9" hidden="1" x14ac:dyDescent="0.2">
      <c r="A150" t="s">
        <v>18</v>
      </c>
      <c r="B150" s="4" t="s">
        <v>125</v>
      </c>
      <c r="C150" s="5">
        <v>46008</v>
      </c>
      <c r="D150" t="s">
        <v>24</v>
      </c>
      <c r="E150" t="s">
        <v>126</v>
      </c>
      <c r="F150" t="s">
        <v>16</v>
      </c>
      <c r="G150" s="6">
        <v>400</v>
      </c>
      <c r="H150" s="7">
        <v>9.7000000000000003E-2</v>
      </c>
      <c r="I150" s="7">
        <v>33.06</v>
      </c>
    </row>
    <row r="151" spans="1:9" hidden="1" x14ac:dyDescent="0.2">
      <c r="A151" t="s">
        <v>18</v>
      </c>
      <c r="B151" s="4" t="s">
        <v>125</v>
      </c>
      <c r="C151" s="5">
        <v>46008</v>
      </c>
      <c r="D151" t="s">
        <v>24</v>
      </c>
      <c r="E151" t="s">
        <v>126</v>
      </c>
      <c r="F151" t="s">
        <v>16</v>
      </c>
      <c r="G151" s="6">
        <v>300</v>
      </c>
      <c r="H151" s="7">
        <v>9.7000000000000003E-2</v>
      </c>
      <c r="I151" s="7">
        <v>24.8</v>
      </c>
    </row>
    <row r="152" spans="1:9" hidden="1" x14ac:dyDescent="0.2">
      <c r="A152" t="s">
        <v>18</v>
      </c>
      <c r="B152" s="4" t="s">
        <v>125</v>
      </c>
      <c r="C152" s="5">
        <v>46008</v>
      </c>
      <c r="D152" t="s">
        <v>24</v>
      </c>
      <c r="E152" t="s">
        <v>126</v>
      </c>
      <c r="F152" t="s">
        <v>16</v>
      </c>
      <c r="G152" s="6">
        <v>300</v>
      </c>
      <c r="H152" s="7">
        <v>9.7000000000000003E-2</v>
      </c>
      <c r="I152" s="7">
        <v>24.8</v>
      </c>
    </row>
    <row r="153" spans="1:9" hidden="1" x14ac:dyDescent="0.2">
      <c r="A153" t="s">
        <v>18</v>
      </c>
      <c r="B153" s="4" t="s">
        <v>125</v>
      </c>
      <c r="C153" s="5">
        <v>46008</v>
      </c>
      <c r="D153" t="s">
        <v>24</v>
      </c>
      <c r="E153" t="s">
        <v>126</v>
      </c>
      <c r="F153" t="s">
        <v>16</v>
      </c>
      <c r="G153" s="6">
        <v>400</v>
      </c>
      <c r="H153" s="7">
        <v>9.7000000000000003E-2</v>
      </c>
      <c r="I153" s="7">
        <v>33.1</v>
      </c>
    </row>
    <row r="154" spans="1:9" hidden="1" x14ac:dyDescent="0.2">
      <c r="A154" t="s">
        <v>18</v>
      </c>
      <c r="B154" s="4" t="s">
        <v>125</v>
      </c>
      <c r="C154" s="5">
        <v>46008</v>
      </c>
      <c r="D154" t="s">
        <v>24</v>
      </c>
      <c r="E154" t="s">
        <v>126</v>
      </c>
      <c r="F154" t="s">
        <v>16</v>
      </c>
      <c r="G154" s="6">
        <v>400</v>
      </c>
      <c r="H154" s="7">
        <v>0.19500000000000001</v>
      </c>
      <c r="I154" s="7">
        <v>66.42</v>
      </c>
    </row>
    <row r="155" spans="1:9" hidden="1" x14ac:dyDescent="0.2">
      <c r="A155" t="s">
        <v>18</v>
      </c>
      <c r="B155" s="4" t="s">
        <v>125</v>
      </c>
      <c r="C155" s="5">
        <v>46008</v>
      </c>
      <c r="D155" t="s">
        <v>24</v>
      </c>
      <c r="E155" t="s">
        <v>126</v>
      </c>
      <c r="F155" t="s">
        <v>16</v>
      </c>
      <c r="G155" s="6">
        <v>400</v>
      </c>
      <c r="H155" s="7">
        <v>0.16900000000000001</v>
      </c>
      <c r="I155" s="7">
        <v>57.5</v>
      </c>
    </row>
    <row r="156" spans="1:9" hidden="1" x14ac:dyDescent="0.2">
      <c r="A156" t="s">
        <v>18</v>
      </c>
      <c r="B156" s="4" t="s">
        <v>125</v>
      </c>
      <c r="C156" s="5">
        <v>46008</v>
      </c>
      <c r="D156" t="s">
        <v>24</v>
      </c>
      <c r="E156" t="s">
        <v>36</v>
      </c>
      <c r="F156" t="s">
        <v>16</v>
      </c>
      <c r="G156" s="6">
        <v>300</v>
      </c>
      <c r="H156" s="7">
        <v>0.60899999999999999</v>
      </c>
      <c r="I156" s="7">
        <v>155.28</v>
      </c>
    </row>
    <row r="157" spans="1:9" hidden="1" x14ac:dyDescent="0.2">
      <c r="A157" t="s">
        <v>18</v>
      </c>
      <c r="B157" s="4" t="s">
        <v>125</v>
      </c>
      <c r="C157" s="5">
        <v>46008</v>
      </c>
      <c r="D157" t="s">
        <v>41</v>
      </c>
      <c r="E157" t="s">
        <v>114</v>
      </c>
      <c r="F157" t="s">
        <v>16</v>
      </c>
      <c r="G157" s="6">
        <v>188</v>
      </c>
      <c r="H157" s="7">
        <v>1</v>
      </c>
      <c r="I157" s="7">
        <v>188</v>
      </c>
    </row>
    <row r="158" spans="1:9" hidden="1" x14ac:dyDescent="0.2">
      <c r="A158" t="s">
        <v>18</v>
      </c>
      <c r="B158" s="4" t="s">
        <v>127</v>
      </c>
      <c r="C158" s="5">
        <v>46007</v>
      </c>
      <c r="D158" t="s">
        <v>41</v>
      </c>
      <c r="E158" t="s">
        <v>105</v>
      </c>
      <c r="F158" t="s">
        <v>16</v>
      </c>
      <c r="G158" s="6">
        <v>165</v>
      </c>
      <c r="H158" s="7">
        <v>0.318</v>
      </c>
      <c r="I158" s="7">
        <v>52.41</v>
      </c>
    </row>
    <row r="159" spans="1:9" hidden="1" x14ac:dyDescent="0.2">
      <c r="A159" t="s">
        <v>18</v>
      </c>
      <c r="B159" s="4" t="s">
        <v>128</v>
      </c>
      <c r="C159" s="5">
        <v>46003</v>
      </c>
      <c r="D159" t="s">
        <v>24</v>
      </c>
      <c r="E159" t="s">
        <v>107</v>
      </c>
      <c r="F159" t="s">
        <v>16</v>
      </c>
      <c r="G159" s="6">
        <v>700</v>
      </c>
      <c r="H159" s="7">
        <v>4.5999999999999999E-2</v>
      </c>
      <c r="I159" s="7">
        <v>27.27</v>
      </c>
    </row>
    <row r="160" spans="1:9" hidden="1" x14ac:dyDescent="0.2">
      <c r="A160" t="s">
        <v>18</v>
      </c>
      <c r="B160" s="4" t="s">
        <v>128</v>
      </c>
      <c r="C160" s="5">
        <v>46003</v>
      </c>
      <c r="D160" t="s">
        <v>41</v>
      </c>
      <c r="E160" t="s">
        <v>50</v>
      </c>
      <c r="F160" t="s">
        <v>16</v>
      </c>
      <c r="G160" s="6">
        <v>99</v>
      </c>
      <c r="H160" s="7">
        <v>1.1000000000000001</v>
      </c>
      <c r="I160" s="7">
        <v>108.9</v>
      </c>
    </row>
    <row r="161" spans="1:9" hidden="1" x14ac:dyDescent="0.2">
      <c r="A161" t="s">
        <v>18</v>
      </c>
      <c r="B161" s="4" t="s">
        <v>128</v>
      </c>
      <c r="C161" s="5">
        <v>46003</v>
      </c>
      <c r="D161" t="s">
        <v>41</v>
      </c>
      <c r="E161" t="s">
        <v>51</v>
      </c>
      <c r="F161" t="s">
        <v>16</v>
      </c>
      <c r="G161" s="6">
        <v>129</v>
      </c>
      <c r="H161" s="7">
        <v>0.95</v>
      </c>
      <c r="I161" s="7">
        <v>122.55</v>
      </c>
    </row>
    <row r="162" spans="1:9" hidden="1" x14ac:dyDescent="0.2">
      <c r="A162" s="1" t="s">
        <v>18</v>
      </c>
      <c r="B162" s="8" t="s">
        <v>128</v>
      </c>
      <c r="C162" s="9">
        <v>46003</v>
      </c>
      <c r="D162" s="1" t="s">
        <v>31</v>
      </c>
      <c r="E162" s="1" t="s">
        <v>113</v>
      </c>
      <c r="F162" s="1" t="s">
        <v>16</v>
      </c>
      <c r="G162" s="10">
        <v>165</v>
      </c>
      <c r="H162" s="11" t="s">
        <v>17</v>
      </c>
      <c r="I162" s="11" t="s">
        <v>17</v>
      </c>
    </row>
    <row r="163" spans="1:9" hidden="1" x14ac:dyDescent="0.2">
      <c r="A163" t="s">
        <v>18</v>
      </c>
      <c r="B163" s="4" t="s">
        <v>128</v>
      </c>
      <c r="C163" s="5">
        <v>46003</v>
      </c>
      <c r="D163" t="s">
        <v>41</v>
      </c>
      <c r="E163" t="s">
        <v>52</v>
      </c>
      <c r="F163" t="s">
        <v>16</v>
      </c>
      <c r="G163" s="6">
        <v>153</v>
      </c>
      <c r="H163" s="7">
        <v>0.86</v>
      </c>
      <c r="I163" s="7">
        <v>131.58000000000001</v>
      </c>
    </row>
    <row r="164" spans="1:9" hidden="1" x14ac:dyDescent="0.2">
      <c r="A164" t="s">
        <v>18</v>
      </c>
      <c r="B164" s="4" t="s">
        <v>128</v>
      </c>
      <c r="C164" s="5">
        <v>46003</v>
      </c>
      <c r="D164" t="s">
        <v>35</v>
      </c>
      <c r="E164" t="s">
        <v>129</v>
      </c>
      <c r="F164" t="s">
        <v>16</v>
      </c>
      <c r="G164" s="6">
        <v>800</v>
      </c>
      <c r="H164" s="7">
        <v>0.34200000000000003</v>
      </c>
      <c r="I164" s="7">
        <v>273.36</v>
      </c>
    </row>
    <row r="165" spans="1:9" hidden="1" x14ac:dyDescent="0.2">
      <c r="A165" t="s">
        <v>18</v>
      </c>
      <c r="B165" s="4" t="s">
        <v>128</v>
      </c>
      <c r="C165" s="5">
        <v>46003</v>
      </c>
      <c r="D165" t="s">
        <v>24</v>
      </c>
      <c r="E165" t="s">
        <v>129</v>
      </c>
      <c r="F165" t="s">
        <v>16</v>
      </c>
      <c r="G165" s="6">
        <v>800</v>
      </c>
      <c r="H165" s="7">
        <v>0.11</v>
      </c>
      <c r="I165" s="7">
        <v>74.959999999999994</v>
      </c>
    </row>
    <row r="166" spans="1:9" hidden="1" x14ac:dyDescent="0.2">
      <c r="A166" t="s">
        <v>18</v>
      </c>
      <c r="B166" s="4" t="s">
        <v>128</v>
      </c>
      <c r="C166" s="5">
        <v>46003</v>
      </c>
      <c r="D166" t="s">
        <v>24</v>
      </c>
      <c r="E166" t="s">
        <v>129</v>
      </c>
      <c r="F166" t="s">
        <v>16</v>
      </c>
      <c r="G166" s="6">
        <v>800</v>
      </c>
      <c r="H166" s="7">
        <v>0.111</v>
      </c>
      <c r="I166" s="7">
        <v>75.680000000000007</v>
      </c>
    </row>
    <row r="167" spans="1:9" hidden="1" x14ac:dyDescent="0.2">
      <c r="A167" t="s">
        <v>18</v>
      </c>
      <c r="B167" s="4" t="s">
        <v>130</v>
      </c>
      <c r="C167" s="5">
        <v>46002</v>
      </c>
      <c r="D167" t="s">
        <v>24</v>
      </c>
      <c r="E167" t="s">
        <v>107</v>
      </c>
      <c r="F167" t="s">
        <v>16</v>
      </c>
      <c r="G167" s="6">
        <v>700</v>
      </c>
      <c r="H167" s="7">
        <v>7.1999999999999995E-2</v>
      </c>
      <c r="I167" s="7">
        <v>42.79</v>
      </c>
    </row>
    <row r="168" spans="1:9" hidden="1" x14ac:dyDescent="0.2">
      <c r="A168" t="s">
        <v>18</v>
      </c>
      <c r="B168" s="4" t="s">
        <v>131</v>
      </c>
      <c r="C168" s="5">
        <v>46000</v>
      </c>
      <c r="D168" t="s">
        <v>132</v>
      </c>
      <c r="E168" t="s">
        <v>133</v>
      </c>
      <c r="F168" t="s">
        <v>16</v>
      </c>
      <c r="G168" s="6">
        <v>187</v>
      </c>
      <c r="H168" s="7">
        <v>4.306</v>
      </c>
      <c r="I168" s="7">
        <v>17.84</v>
      </c>
    </row>
    <row r="169" spans="1:9" hidden="1" x14ac:dyDescent="0.2">
      <c r="A169" t="s">
        <v>8</v>
      </c>
      <c r="B169" s="4" t="s">
        <v>134</v>
      </c>
      <c r="C169" s="5">
        <v>45994</v>
      </c>
      <c r="D169" t="s">
        <v>93</v>
      </c>
      <c r="E169" t="s">
        <v>105</v>
      </c>
      <c r="F169" t="s">
        <v>16</v>
      </c>
      <c r="G169" s="6">
        <v>0.46</v>
      </c>
      <c r="H169" s="7" t="s">
        <v>17</v>
      </c>
      <c r="I169" s="7" t="s">
        <v>17</v>
      </c>
    </row>
    <row r="170" spans="1:9" hidden="1" x14ac:dyDescent="0.2">
      <c r="A170" s="1" t="s">
        <v>18</v>
      </c>
      <c r="B170" s="8" t="s">
        <v>135</v>
      </c>
      <c r="C170" s="9">
        <v>45992</v>
      </c>
      <c r="D170" s="1" t="s">
        <v>31</v>
      </c>
      <c r="E170" s="1" t="s">
        <v>133</v>
      </c>
      <c r="F170" s="1" t="s">
        <v>16</v>
      </c>
      <c r="G170" s="10">
        <v>187</v>
      </c>
      <c r="H170" s="11" t="s">
        <v>17</v>
      </c>
      <c r="I170" s="11" t="s">
        <v>17</v>
      </c>
    </row>
    <row r="171" spans="1:9" hidden="1" x14ac:dyDescent="0.2">
      <c r="A171" s="1" t="s">
        <v>18</v>
      </c>
      <c r="B171" s="8" t="s">
        <v>135</v>
      </c>
      <c r="C171" s="9">
        <v>45992</v>
      </c>
      <c r="D171" s="1" t="s">
        <v>31</v>
      </c>
      <c r="E171" s="1" t="s">
        <v>105</v>
      </c>
      <c r="F171" s="1" t="s">
        <v>16</v>
      </c>
      <c r="G171" s="10">
        <v>165.46</v>
      </c>
      <c r="H171" s="11" t="s">
        <v>17</v>
      </c>
      <c r="I171" s="11" t="s">
        <v>17</v>
      </c>
    </row>
    <row r="172" spans="1:9" hidden="1" x14ac:dyDescent="0.2">
      <c r="A172" t="s">
        <v>18</v>
      </c>
      <c r="B172" s="4" t="s">
        <v>135</v>
      </c>
      <c r="C172" s="5">
        <v>45992</v>
      </c>
      <c r="D172" t="s">
        <v>24</v>
      </c>
      <c r="E172" t="s">
        <v>123</v>
      </c>
      <c r="F172" t="s">
        <v>16</v>
      </c>
      <c r="G172" s="6">
        <v>220</v>
      </c>
      <c r="H172" s="7">
        <v>1.7999999999999999E-2</v>
      </c>
      <c r="I172" s="7">
        <v>3.3</v>
      </c>
    </row>
    <row r="173" spans="1:9" hidden="1" x14ac:dyDescent="0.2">
      <c r="A173" s="12" t="s">
        <v>18</v>
      </c>
      <c r="B173" s="13" t="s">
        <v>136</v>
      </c>
      <c r="C173" s="14">
        <v>45989</v>
      </c>
      <c r="D173" s="12" t="s">
        <v>111</v>
      </c>
      <c r="E173" s="12" t="s">
        <v>44</v>
      </c>
      <c r="F173" s="12" t="s">
        <v>16</v>
      </c>
      <c r="G173" s="15">
        <v>120</v>
      </c>
      <c r="H173" s="16" t="s">
        <v>17</v>
      </c>
      <c r="I173" s="16" t="s">
        <v>17</v>
      </c>
    </row>
    <row r="174" spans="1:9" hidden="1" x14ac:dyDescent="0.2">
      <c r="A174" t="s">
        <v>18</v>
      </c>
      <c r="B174" s="4" t="s">
        <v>137</v>
      </c>
      <c r="C174" s="5">
        <v>45988</v>
      </c>
      <c r="D174" t="s">
        <v>35</v>
      </c>
      <c r="E174" t="s">
        <v>37</v>
      </c>
      <c r="F174" t="s">
        <v>16</v>
      </c>
      <c r="G174" s="6">
        <v>700</v>
      </c>
      <c r="H174" s="7">
        <v>0.23</v>
      </c>
      <c r="I174" s="7">
        <v>161.13</v>
      </c>
    </row>
    <row r="175" spans="1:9" hidden="1" x14ac:dyDescent="0.2">
      <c r="A175" t="s">
        <v>18</v>
      </c>
      <c r="B175" s="4" t="s">
        <v>137</v>
      </c>
      <c r="C175" s="5">
        <v>45988</v>
      </c>
      <c r="D175" t="s">
        <v>35</v>
      </c>
      <c r="E175" t="s">
        <v>37</v>
      </c>
      <c r="F175" t="s">
        <v>16</v>
      </c>
      <c r="G175" s="6">
        <v>700</v>
      </c>
      <c r="H175" s="7">
        <v>0.32200000000000001</v>
      </c>
      <c r="I175" s="7">
        <v>225.33</v>
      </c>
    </row>
    <row r="176" spans="1:9" hidden="1" x14ac:dyDescent="0.2">
      <c r="A176" t="s">
        <v>18</v>
      </c>
      <c r="B176" s="4" t="s">
        <v>137</v>
      </c>
      <c r="C176" s="5">
        <v>45988</v>
      </c>
      <c r="D176" t="s">
        <v>24</v>
      </c>
      <c r="E176" t="s">
        <v>37</v>
      </c>
      <c r="F176" t="s">
        <v>16</v>
      </c>
      <c r="G176" s="6">
        <v>700</v>
      </c>
      <c r="H176" s="7">
        <v>0.63900000000000001</v>
      </c>
      <c r="I176" s="7">
        <v>380.19</v>
      </c>
    </row>
    <row r="177" spans="1:9" hidden="1" x14ac:dyDescent="0.2">
      <c r="A177" t="s">
        <v>18</v>
      </c>
      <c r="B177" s="4" t="s">
        <v>138</v>
      </c>
      <c r="C177" s="5">
        <v>45982</v>
      </c>
      <c r="D177" t="s">
        <v>24</v>
      </c>
      <c r="E177" t="s">
        <v>32</v>
      </c>
      <c r="F177" t="s">
        <v>16</v>
      </c>
      <c r="G177" s="6">
        <v>500</v>
      </c>
      <c r="H177" s="7">
        <v>0.33600000000000002</v>
      </c>
      <c r="I177" s="7">
        <v>142.79</v>
      </c>
    </row>
    <row r="178" spans="1:9" hidden="1" x14ac:dyDescent="0.2">
      <c r="A178" t="s">
        <v>18</v>
      </c>
      <c r="B178" s="4" t="s">
        <v>139</v>
      </c>
      <c r="C178" s="5">
        <v>45980</v>
      </c>
      <c r="D178" t="s">
        <v>41</v>
      </c>
      <c r="E178" t="s">
        <v>114</v>
      </c>
      <c r="F178" t="s">
        <v>16</v>
      </c>
      <c r="G178" s="6">
        <v>188</v>
      </c>
      <c r="H178" s="7">
        <v>1</v>
      </c>
      <c r="I178" s="7">
        <v>188</v>
      </c>
    </row>
    <row r="179" spans="1:9" hidden="1" x14ac:dyDescent="0.2">
      <c r="A179" t="s">
        <v>18</v>
      </c>
      <c r="B179" s="4" t="s">
        <v>140</v>
      </c>
      <c r="C179" s="5">
        <v>45979</v>
      </c>
      <c r="D179" t="s">
        <v>41</v>
      </c>
      <c r="E179" t="s">
        <v>133</v>
      </c>
      <c r="F179" t="s">
        <v>16</v>
      </c>
      <c r="G179" s="6">
        <v>187</v>
      </c>
      <c r="H179" s="7">
        <v>1.25</v>
      </c>
      <c r="I179" s="7">
        <v>233.76</v>
      </c>
    </row>
    <row r="180" spans="1:9" hidden="1" x14ac:dyDescent="0.2">
      <c r="A180" s="1" t="s">
        <v>18</v>
      </c>
      <c r="B180" s="8" t="s">
        <v>140</v>
      </c>
      <c r="C180" s="9">
        <v>45979</v>
      </c>
      <c r="D180" s="1" t="s">
        <v>31</v>
      </c>
      <c r="E180" s="1" t="s">
        <v>32</v>
      </c>
      <c r="F180" s="1" t="s">
        <v>16</v>
      </c>
      <c r="G180" s="10">
        <v>500</v>
      </c>
      <c r="H180" s="11" t="s">
        <v>17</v>
      </c>
      <c r="I180" s="11" t="s">
        <v>17</v>
      </c>
    </row>
    <row r="181" spans="1:9" hidden="1" x14ac:dyDescent="0.2">
      <c r="A181" t="s">
        <v>18</v>
      </c>
      <c r="B181" s="4" t="s">
        <v>141</v>
      </c>
      <c r="C181" s="5">
        <v>45975</v>
      </c>
      <c r="D181" t="s">
        <v>41</v>
      </c>
      <c r="E181" t="s">
        <v>50</v>
      </c>
      <c r="F181" t="s">
        <v>16</v>
      </c>
      <c r="G181" s="6">
        <v>99</v>
      </c>
      <c r="H181" s="7">
        <v>1.1000000000000001</v>
      </c>
      <c r="I181" s="7">
        <v>108.9</v>
      </c>
    </row>
    <row r="182" spans="1:9" hidden="1" x14ac:dyDescent="0.2">
      <c r="A182" t="s">
        <v>18</v>
      </c>
      <c r="B182" s="4" t="s">
        <v>141</v>
      </c>
      <c r="C182" s="5">
        <v>45975</v>
      </c>
      <c r="D182" t="s">
        <v>41</v>
      </c>
      <c r="E182" t="s">
        <v>51</v>
      </c>
      <c r="F182" t="s">
        <v>16</v>
      </c>
      <c r="G182" s="6">
        <v>129</v>
      </c>
      <c r="H182" s="7">
        <v>0.95</v>
      </c>
      <c r="I182" s="7">
        <v>122.55</v>
      </c>
    </row>
    <row r="183" spans="1:9" hidden="1" x14ac:dyDescent="0.2">
      <c r="A183" t="s">
        <v>18</v>
      </c>
      <c r="B183" s="4" t="s">
        <v>141</v>
      </c>
      <c r="C183" s="5">
        <v>45975</v>
      </c>
      <c r="D183" t="s">
        <v>41</v>
      </c>
      <c r="E183" t="s">
        <v>52</v>
      </c>
      <c r="F183" t="s">
        <v>16</v>
      </c>
      <c r="G183" s="6">
        <v>153</v>
      </c>
      <c r="H183" s="7">
        <v>0.86</v>
      </c>
      <c r="I183" s="7">
        <v>131.58000000000001</v>
      </c>
    </row>
    <row r="184" spans="1:9" hidden="1" x14ac:dyDescent="0.2">
      <c r="A184" t="s">
        <v>18</v>
      </c>
      <c r="B184" s="4" t="s">
        <v>142</v>
      </c>
      <c r="C184" s="5">
        <v>45964</v>
      </c>
      <c r="D184" t="s">
        <v>24</v>
      </c>
      <c r="E184" t="s">
        <v>123</v>
      </c>
      <c r="F184" t="s">
        <v>16</v>
      </c>
      <c r="G184" s="6">
        <v>220</v>
      </c>
      <c r="H184" s="7">
        <v>1.7999999999999999E-2</v>
      </c>
      <c r="I184" s="7">
        <v>3.3</v>
      </c>
    </row>
    <row r="185" spans="1:9" hidden="1" x14ac:dyDescent="0.2">
      <c r="A185" s="1" t="s">
        <v>18</v>
      </c>
      <c r="B185" s="8" t="s">
        <v>143</v>
      </c>
      <c r="C185" s="9">
        <v>45952</v>
      </c>
      <c r="D185" s="1" t="s">
        <v>31</v>
      </c>
      <c r="E185" s="1" t="s">
        <v>76</v>
      </c>
      <c r="F185" s="1" t="s">
        <v>16</v>
      </c>
      <c r="G185" s="10">
        <v>200</v>
      </c>
      <c r="H185" s="11" t="s">
        <v>17</v>
      </c>
      <c r="I185" s="11" t="s">
        <v>17</v>
      </c>
    </row>
    <row r="186" spans="1:9" hidden="1" x14ac:dyDescent="0.2">
      <c r="A186" t="s">
        <v>18</v>
      </c>
      <c r="B186" s="4" t="s">
        <v>144</v>
      </c>
      <c r="C186" s="5">
        <v>45947</v>
      </c>
      <c r="D186" t="s">
        <v>41</v>
      </c>
      <c r="E186" t="s">
        <v>114</v>
      </c>
      <c r="F186" t="s">
        <v>16</v>
      </c>
      <c r="G186" s="6">
        <v>188</v>
      </c>
      <c r="H186" s="7">
        <v>1</v>
      </c>
      <c r="I186" s="7">
        <v>188</v>
      </c>
    </row>
    <row r="187" spans="1:9" hidden="1" x14ac:dyDescent="0.2">
      <c r="A187" t="s">
        <v>18</v>
      </c>
      <c r="B187" s="4" t="s">
        <v>145</v>
      </c>
      <c r="C187" s="5">
        <v>45946</v>
      </c>
      <c r="D187" t="s">
        <v>41</v>
      </c>
      <c r="E187" t="s">
        <v>133</v>
      </c>
      <c r="F187" t="s">
        <v>16</v>
      </c>
      <c r="G187" s="6">
        <v>187</v>
      </c>
      <c r="H187" s="7">
        <v>0.76</v>
      </c>
      <c r="I187" s="7">
        <v>142.12</v>
      </c>
    </row>
    <row r="188" spans="1:9" hidden="1" x14ac:dyDescent="0.2">
      <c r="A188" t="s">
        <v>18</v>
      </c>
      <c r="B188" s="4" t="s">
        <v>146</v>
      </c>
      <c r="C188" s="5">
        <v>45944</v>
      </c>
      <c r="D188" t="s">
        <v>41</v>
      </c>
      <c r="E188" t="s">
        <v>50</v>
      </c>
      <c r="F188" t="s">
        <v>16</v>
      </c>
      <c r="G188" s="6">
        <v>99</v>
      </c>
      <c r="H188" s="7">
        <v>1.1000000000000001</v>
      </c>
      <c r="I188" s="7">
        <v>108.9</v>
      </c>
    </row>
    <row r="189" spans="1:9" x14ac:dyDescent="0.2">
      <c r="A189" t="s">
        <v>8</v>
      </c>
      <c r="B189" s="4" t="s">
        <v>146</v>
      </c>
      <c r="C189" s="5">
        <v>45944</v>
      </c>
      <c r="D189" t="s">
        <v>14</v>
      </c>
      <c r="E189" t="s">
        <v>78</v>
      </c>
      <c r="F189" t="s">
        <v>16</v>
      </c>
      <c r="G189" s="6">
        <v>0</v>
      </c>
      <c r="H189" s="7" t="s">
        <v>17</v>
      </c>
      <c r="I189" s="7" t="s">
        <v>17</v>
      </c>
    </row>
    <row r="190" spans="1:9" hidden="1" x14ac:dyDescent="0.2">
      <c r="A190" t="s">
        <v>18</v>
      </c>
      <c r="B190" s="4" t="s">
        <v>146</v>
      </c>
      <c r="C190" s="5">
        <v>45944</v>
      </c>
      <c r="D190" t="s">
        <v>41</v>
      </c>
      <c r="E190" t="s">
        <v>51</v>
      </c>
      <c r="F190" t="s">
        <v>16</v>
      </c>
      <c r="G190" s="6">
        <v>129</v>
      </c>
      <c r="H190" s="7">
        <v>0.95</v>
      </c>
      <c r="I190" s="7">
        <v>122.55</v>
      </c>
    </row>
    <row r="191" spans="1:9" hidden="1" x14ac:dyDescent="0.2">
      <c r="A191" t="s">
        <v>18</v>
      </c>
      <c r="B191" s="4" t="s">
        <v>146</v>
      </c>
      <c r="C191" s="5">
        <v>45944</v>
      </c>
      <c r="D191" t="s">
        <v>41</v>
      </c>
      <c r="E191" t="s">
        <v>52</v>
      </c>
      <c r="F191" t="s">
        <v>16</v>
      </c>
      <c r="G191" s="6">
        <v>153</v>
      </c>
      <c r="H191" s="7">
        <v>0.86</v>
      </c>
      <c r="I191" s="7">
        <v>131.58000000000001</v>
      </c>
    </row>
    <row r="192" spans="1:9" hidden="1" x14ac:dyDescent="0.2">
      <c r="A192" t="s">
        <v>18</v>
      </c>
      <c r="B192" s="4" t="s">
        <v>147</v>
      </c>
      <c r="C192" s="5">
        <v>45943</v>
      </c>
      <c r="D192" t="s">
        <v>20</v>
      </c>
      <c r="E192" t="s">
        <v>78</v>
      </c>
      <c r="F192" t="s">
        <v>16</v>
      </c>
      <c r="G192" s="6">
        <v>36</v>
      </c>
      <c r="H192" s="7" t="s">
        <v>17</v>
      </c>
      <c r="I192" s="7" t="s">
        <v>17</v>
      </c>
    </row>
    <row r="193" spans="1:9" hidden="1" x14ac:dyDescent="0.2">
      <c r="A193" t="s">
        <v>8</v>
      </c>
      <c r="B193" s="4" t="s">
        <v>147</v>
      </c>
      <c r="C193" s="5">
        <v>45943</v>
      </c>
      <c r="D193" t="s">
        <v>21</v>
      </c>
      <c r="E193" t="s">
        <v>78</v>
      </c>
      <c r="F193" t="s">
        <v>16</v>
      </c>
      <c r="G193" s="6">
        <v>36</v>
      </c>
      <c r="H193" s="7" t="s">
        <v>17</v>
      </c>
      <c r="I193" s="7" t="s">
        <v>17</v>
      </c>
    </row>
    <row r="194" spans="1:9" hidden="1" x14ac:dyDescent="0.2">
      <c r="A194" t="s">
        <v>18</v>
      </c>
      <c r="B194" s="4" t="s">
        <v>148</v>
      </c>
      <c r="C194" s="5">
        <v>45937</v>
      </c>
      <c r="D194" t="s">
        <v>24</v>
      </c>
      <c r="E194" t="s">
        <v>63</v>
      </c>
      <c r="F194" t="s">
        <v>16</v>
      </c>
      <c r="G194" s="6">
        <v>700</v>
      </c>
      <c r="H194" s="7">
        <v>7.8E-2</v>
      </c>
      <c r="I194" s="7">
        <v>46.58</v>
      </c>
    </row>
    <row r="195" spans="1:9" hidden="1" x14ac:dyDescent="0.2">
      <c r="A195" t="s">
        <v>18</v>
      </c>
      <c r="B195" s="4" t="s">
        <v>149</v>
      </c>
      <c r="C195" s="5">
        <v>45933</v>
      </c>
      <c r="D195" t="s">
        <v>24</v>
      </c>
      <c r="E195" t="s">
        <v>57</v>
      </c>
      <c r="F195" t="s">
        <v>16</v>
      </c>
      <c r="G195" s="6">
        <v>830</v>
      </c>
      <c r="H195" s="7">
        <v>0.31</v>
      </c>
      <c r="I195" s="7">
        <v>218.78</v>
      </c>
    </row>
    <row r="196" spans="1:9" x14ac:dyDescent="0.2">
      <c r="A196" t="s">
        <v>18</v>
      </c>
      <c r="B196" s="4" t="s">
        <v>150</v>
      </c>
      <c r="C196" s="5">
        <v>45931</v>
      </c>
      <c r="D196" t="s">
        <v>28</v>
      </c>
      <c r="E196" t="s">
        <v>78</v>
      </c>
      <c r="F196" t="s">
        <v>16</v>
      </c>
      <c r="G196" s="6">
        <v>36</v>
      </c>
      <c r="H196" s="7" t="s">
        <v>17</v>
      </c>
      <c r="I196" s="7" t="s">
        <v>17</v>
      </c>
    </row>
    <row r="197" spans="1:9" hidden="1" x14ac:dyDescent="0.2">
      <c r="A197" t="s">
        <v>18</v>
      </c>
      <c r="B197" s="4" t="s">
        <v>150</v>
      </c>
      <c r="C197" s="5">
        <v>45931</v>
      </c>
      <c r="D197" t="s">
        <v>24</v>
      </c>
      <c r="E197" t="s">
        <v>123</v>
      </c>
      <c r="F197" t="s">
        <v>16</v>
      </c>
      <c r="G197" s="6">
        <v>220</v>
      </c>
      <c r="H197" s="7">
        <v>1.7999999999999999E-2</v>
      </c>
      <c r="I197" s="7">
        <v>3.3</v>
      </c>
    </row>
    <row r="198" spans="1:9" hidden="1" x14ac:dyDescent="0.2">
      <c r="A198" t="s">
        <v>18</v>
      </c>
      <c r="B198" s="4" t="s">
        <v>151</v>
      </c>
      <c r="C198" s="5">
        <v>45930</v>
      </c>
      <c r="D198" t="s">
        <v>35</v>
      </c>
      <c r="E198" t="s">
        <v>152</v>
      </c>
      <c r="F198" t="s">
        <v>16</v>
      </c>
      <c r="G198" s="6">
        <v>500</v>
      </c>
      <c r="H198" s="7">
        <v>3.6999999999999998E-2</v>
      </c>
      <c r="I198" s="7">
        <v>18.420000000000002</v>
      </c>
    </row>
    <row r="199" spans="1:9" hidden="1" x14ac:dyDescent="0.2">
      <c r="A199" t="s">
        <v>18</v>
      </c>
      <c r="B199" s="4" t="s">
        <v>153</v>
      </c>
      <c r="C199" s="5">
        <v>45922</v>
      </c>
      <c r="D199" t="s">
        <v>35</v>
      </c>
      <c r="E199" t="s">
        <v>154</v>
      </c>
      <c r="F199" t="s">
        <v>16</v>
      </c>
      <c r="G199" s="6">
        <v>500</v>
      </c>
      <c r="H199" s="7">
        <v>0.308</v>
      </c>
      <c r="I199" s="7">
        <v>154.22</v>
      </c>
    </row>
    <row r="200" spans="1:9" hidden="1" x14ac:dyDescent="0.2">
      <c r="A200" t="s">
        <v>18</v>
      </c>
      <c r="B200" s="4" t="s">
        <v>153</v>
      </c>
      <c r="C200" s="5">
        <v>45922</v>
      </c>
      <c r="D200" t="s">
        <v>24</v>
      </c>
      <c r="E200" t="s">
        <v>154</v>
      </c>
      <c r="F200" t="s">
        <v>16</v>
      </c>
      <c r="G200" s="6">
        <v>500</v>
      </c>
      <c r="H200" s="7">
        <v>0.14599999999999999</v>
      </c>
      <c r="I200" s="7">
        <v>62.11</v>
      </c>
    </row>
    <row r="201" spans="1:9" hidden="1" x14ac:dyDescent="0.2">
      <c r="A201" t="s">
        <v>18</v>
      </c>
      <c r="B201" s="4" t="s">
        <v>155</v>
      </c>
      <c r="C201" s="5">
        <v>45917</v>
      </c>
      <c r="D201" t="s">
        <v>41</v>
      </c>
      <c r="E201" t="s">
        <v>114</v>
      </c>
      <c r="F201" t="s">
        <v>16</v>
      </c>
      <c r="G201" s="6">
        <v>188</v>
      </c>
      <c r="H201" s="7">
        <v>1</v>
      </c>
      <c r="I201" s="7">
        <v>188</v>
      </c>
    </row>
    <row r="202" spans="1:9" hidden="1" x14ac:dyDescent="0.2">
      <c r="A202" t="s">
        <v>18</v>
      </c>
      <c r="B202" s="4" t="s">
        <v>156</v>
      </c>
      <c r="C202" s="5">
        <v>45916</v>
      </c>
      <c r="D202" t="s">
        <v>41</v>
      </c>
      <c r="E202" t="s">
        <v>133</v>
      </c>
      <c r="F202" t="s">
        <v>16</v>
      </c>
      <c r="G202" s="6">
        <v>187</v>
      </c>
      <c r="H202" s="7">
        <v>0.7</v>
      </c>
      <c r="I202" s="7">
        <v>130.9</v>
      </c>
    </row>
    <row r="203" spans="1:9" hidden="1" x14ac:dyDescent="0.2">
      <c r="A203" t="s">
        <v>18</v>
      </c>
      <c r="B203" s="4" t="s">
        <v>157</v>
      </c>
      <c r="C203" s="5">
        <v>45912</v>
      </c>
      <c r="D203" t="s">
        <v>41</v>
      </c>
      <c r="E203" t="s">
        <v>50</v>
      </c>
      <c r="F203" t="s">
        <v>16</v>
      </c>
      <c r="G203" s="6">
        <v>99</v>
      </c>
      <c r="H203" s="7">
        <v>1.1000000000000001</v>
      </c>
      <c r="I203" s="7">
        <v>108.9</v>
      </c>
    </row>
    <row r="204" spans="1:9" hidden="1" x14ac:dyDescent="0.2">
      <c r="A204" t="s">
        <v>18</v>
      </c>
      <c r="B204" s="4" t="s">
        <v>157</v>
      </c>
      <c r="C204" s="5">
        <v>45912</v>
      </c>
      <c r="D204" t="s">
        <v>41</v>
      </c>
      <c r="E204" t="s">
        <v>51</v>
      </c>
      <c r="F204" t="s">
        <v>16</v>
      </c>
      <c r="G204" s="6">
        <v>129</v>
      </c>
      <c r="H204" s="7">
        <v>0.95</v>
      </c>
      <c r="I204" s="7">
        <v>122.55</v>
      </c>
    </row>
    <row r="205" spans="1:9" hidden="1" x14ac:dyDescent="0.2">
      <c r="A205" t="s">
        <v>18</v>
      </c>
      <c r="B205" s="4" t="s">
        <v>157</v>
      </c>
      <c r="C205" s="5">
        <v>45912</v>
      </c>
      <c r="D205" t="s">
        <v>41</v>
      </c>
      <c r="E205" t="s">
        <v>52</v>
      </c>
      <c r="F205" t="s">
        <v>16</v>
      </c>
      <c r="G205" s="6">
        <v>153</v>
      </c>
      <c r="H205" s="7">
        <v>0.86</v>
      </c>
      <c r="I205" s="7">
        <v>131.58000000000001</v>
      </c>
    </row>
    <row r="206" spans="1:9" hidden="1" x14ac:dyDescent="0.2">
      <c r="A206" s="1" t="s">
        <v>18</v>
      </c>
      <c r="B206" s="8" t="s">
        <v>158</v>
      </c>
      <c r="C206" s="9">
        <v>45909</v>
      </c>
      <c r="D206" s="1" t="s">
        <v>31</v>
      </c>
      <c r="E206" s="1" t="s">
        <v>63</v>
      </c>
      <c r="F206" s="1" t="s">
        <v>16</v>
      </c>
      <c r="G206" s="10">
        <v>700</v>
      </c>
      <c r="H206" s="11" t="s">
        <v>17</v>
      </c>
      <c r="I206" s="11" t="s">
        <v>17</v>
      </c>
    </row>
    <row r="207" spans="1:9" hidden="1" x14ac:dyDescent="0.2">
      <c r="A207" t="s">
        <v>18</v>
      </c>
      <c r="B207" s="4" t="s">
        <v>159</v>
      </c>
      <c r="C207" s="5">
        <v>45903</v>
      </c>
      <c r="D207" t="s">
        <v>24</v>
      </c>
      <c r="E207" t="s">
        <v>76</v>
      </c>
      <c r="F207" t="s">
        <v>16</v>
      </c>
      <c r="G207" s="6">
        <v>200</v>
      </c>
      <c r="H207" s="7">
        <v>1.895</v>
      </c>
      <c r="I207" s="7">
        <v>322.20999999999998</v>
      </c>
    </row>
    <row r="208" spans="1:9" hidden="1" x14ac:dyDescent="0.2">
      <c r="A208" t="s">
        <v>18</v>
      </c>
      <c r="B208" s="4" t="s">
        <v>160</v>
      </c>
      <c r="C208" s="5">
        <v>45901</v>
      </c>
      <c r="D208" t="s">
        <v>24</v>
      </c>
      <c r="E208" t="s">
        <v>123</v>
      </c>
      <c r="F208" t="s">
        <v>16</v>
      </c>
      <c r="G208" s="6">
        <v>220</v>
      </c>
      <c r="H208" s="7">
        <v>1.7999999999999999E-2</v>
      </c>
      <c r="I208" s="7">
        <v>3.3</v>
      </c>
    </row>
    <row r="209" spans="1:9" hidden="1" x14ac:dyDescent="0.2">
      <c r="A209" t="s">
        <v>18</v>
      </c>
      <c r="B209" s="4" t="s">
        <v>161</v>
      </c>
      <c r="C209" s="5">
        <v>45898</v>
      </c>
      <c r="D209" t="s">
        <v>24</v>
      </c>
      <c r="E209" t="s">
        <v>123</v>
      </c>
      <c r="F209" t="s">
        <v>16</v>
      </c>
      <c r="G209" s="6">
        <v>220</v>
      </c>
      <c r="H209" s="7">
        <v>0.36299999999999999</v>
      </c>
      <c r="I209" s="7">
        <v>67.95</v>
      </c>
    </row>
    <row r="210" spans="1:9" hidden="1" x14ac:dyDescent="0.2">
      <c r="A210" t="s">
        <v>18</v>
      </c>
      <c r="B210" s="4" t="s">
        <v>161</v>
      </c>
      <c r="C210" s="5">
        <v>45898</v>
      </c>
      <c r="D210" t="s">
        <v>24</v>
      </c>
      <c r="E210" t="s">
        <v>123</v>
      </c>
      <c r="F210" t="s">
        <v>16</v>
      </c>
      <c r="G210" s="6">
        <v>220</v>
      </c>
      <c r="H210" s="7">
        <v>0.33400000000000002</v>
      </c>
      <c r="I210" s="7">
        <v>62.48</v>
      </c>
    </row>
    <row r="211" spans="1:9" x14ac:dyDescent="0.2">
      <c r="A211" t="s">
        <v>8</v>
      </c>
      <c r="B211" s="4" t="s">
        <v>162</v>
      </c>
      <c r="C211" s="5">
        <v>45897</v>
      </c>
      <c r="D211" t="s">
        <v>14</v>
      </c>
      <c r="E211" t="s">
        <v>163</v>
      </c>
      <c r="F211" t="s">
        <v>16</v>
      </c>
      <c r="G211" s="6">
        <v>0</v>
      </c>
      <c r="H211" s="7" t="s">
        <v>17</v>
      </c>
      <c r="I211" s="7" t="s">
        <v>17</v>
      </c>
    </row>
    <row r="212" spans="1:9" hidden="1" x14ac:dyDescent="0.2">
      <c r="A212" t="s">
        <v>18</v>
      </c>
      <c r="B212" s="4" t="s">
        <v>164</v>
      </c>
      <c r="C212" s="5">
        <v>45896</v>
      </c>
      <c r="D212" t="s">
        <v>20</v>
      </c>
      <c r="E212" t="s">
        <v>163</v>
      </c>
      <c r="F212" t="s">
        <v>16</v>
      </c>
      <c r="G212" s="6">
        <v>7</v>
      </c>
      <c r="H212" s="7" t="s">
        <v>17</v>
      </c>
      <c r="I212" s="7" t="s">
        <v>17</v>
      </c>
    </row>
    <row r="213" spans="1:9" hidden="1" x14ac:dyDescent="0.2">
      <c r="A213" t="s">
        <v>8</v>
      </c>
      <c r="B213" s="4" t="s">
        <v>164</v>
      </c>
      <c r="C213" s="5">
        <v>45896</v>
      </c>
      <c r="D213" t="s">
        <v>21</v>
      </c>
      <c r="E213" t="s">
        <v>163</v>
      </c>
      <c r="F213" t="s">
        <v>16</v>
      </c>
      <c r="G213" s="6">
        <v>7</v>
      </c>
      <c r="H213" s="7" t="s">
        <v>17</v>
      </c>
      <c r="I213" s="7" t="s">
        <v>17</v>
      </c>
    </row>
    <row r="214" spans="1:9" hidden="1" x14ac:dyDescent="0.2">
      <c r="A214" t="s">
        <v>18</v>
      </c>
      <c r="B214" s="4" t="s">
        <v>164</v>
      </c>
      <c r="C214" s="5">
        <v>45896</v>
      </c>
      <c r="D214" t="s">
        <v>24</v>
      </c>
      <c r="E214" t="s">
        <v>37</v>
      </c>
      <c r="F214" t="s">
        <v>16</v>
      </c>
      <c r="G214" s="6">
        <v>700</v>
      </c>
      <c r="H214" s="7">
        <v>0.54700000000000004</v>
      </c>
      <c r="I214" s="7">
        <v>325.18</v>
      </c>
    </row>
    <row r="215" spans="1:9" hidden="1" x14ac:dyDescent="0.2">
      <c r="A215" t="s">
        <v>18</v>
      </c>
      <c r="B215" s="4" t="s">
        <v>165</v>
      </c>
      <c r="C215" s="5">
        <v>45889</v>
      </c>
      <c r="D215" t="s">
        <v>24</v>
      </c>
      <c r="E215" t="s">
        <v>154</v>
      </c>
      <c r="F215" t="s">
        <v>16</v>
      </c>
      <c r="G215" s="6">
        <v>500</v>
      </c>
      <c r="H215" s="7">
        <v>0.45500000000000002</v>
      </c>
      <c r="I215" s="7">
        <v>193.2</v>
      </c>
    </row>
    <row r="216" spans="1:9" hidden="1" x14ac:dyDescent="0.2">
      <c r="A216" t="s">
        <v>18</v>
      </c>
      <c r="B216" s="4" t="s">
        <v>166</v>
      </c>
      <c r="C216" s="5">
        <v>45888</v>
      </c>
      <c r="D216" t="s">
        <v>41</v>
      </c>
      <c r="E216" t="s">
        <v>114</v>
      </c>
      <c r="F216" t="s">
        <v>16</v>
      </c>
      <c r="G216" s="6">
        <v>188</v>
      </c>
      <c r="H216" s="7">
        <v>1</v>
      </c>
      <c r="I216" s="7">
        <v>188</v>
      </c>
    </row>
    <row r="217" spans="1:9" hidden="1" x14ac:dyDescent="0.2">
      <c r="A217" t="s">
        <v>18</v>
      </c>
      <c r="B217" s="4" t="s">
        <v>167</v>
      </c>
      <c r="C217" s="5">
        <v>45887</v>
      </c>
      <c r="D217" t="s">
        <v>41</v>
      </c>
      <c r="E217" t="s">
        <v>133</v>
      </c>
      <c r="F217" t="s">
        <v>16</v>
      </c>
      <c r="G217" s="6">
        <v>187</v>
      </c>
      <c r="H217" s="7">
        <v>0.78</v>
      </c>
      <c r="I217" s="7">
        <v>145.86000000000001</v>
      </c>
    </row>
    <row r="218" spans="1:9" x14ac:dyDescent="0.2">
      <c r="A218" t="s">
        <v>18</v>
      </c>
      <c r="B218" s="4" t="s">
        <v>168</v>
      </c>
      <c r="C218" s="5">
        <v>45884</v>
      </c>
      <c r="D218" t="s">
        <v>28</v>
      </c>
      <c r="E218" t="s">
        <v>163</v>
      </c>
      <c r="F218" t="s">
        <v>16</v>
      </c>
      <c r="G218" s="6">
        <v>7</v>
      </c>
      <c r="H218" s="7" t="s">
        <v>17</v>
      </c>
      <c r="I218" s="7" t="s">
        <v>17</v>
      </c>
    </row>
    <row r="219" spans="1:9" hidden="1" x14ac:dyDescent="0.2">
      <c r="A219" t="s">
        <v>18</v>
      </c>
      <c r="B219" s="4" t="s">
        <v>169</v>
      </c>
      <c r="C219" s="5">
        <v>45883</v>
      </c>
      <c r="D219" t="s">
        <v>41</v>
      </c>
      <c r="E219" t="s">
        <v>50</v>
      </c>
      <c r="F219" t="s">
        <v>16</v>
      </c>
      <c r="G219" s="6">
        <v>99</v>
      </c>
      <c r="H219" s="7">
        <v>1.1000000000000001</v>
      </c>
      <c r="I219" s="7">
        <v>108.9</v>
      </c>
    </row>
    <row r="220" spans="1:9" hidden="1" x14ac:dyDescent="0.2">
      <c r="A220" t="s">
        <v>18</v>
      </c>
      <c r="B220" s="4" t="s">
        <v>169</v>
      </c>
      <c r="C220" s="5">
        <v>45883</v>
      </c>
      <c r="D220" t="s">
        <v>41</v>
      </c>
      <c r="E220" t="s">
        <v>51</v>
      </c>
      <c r="F220" t="s">
        <v>16</v>
      </c>
      <c r="G220" s="6">
        <v>129</v>
      </c>
      <c r="H220" s="7">
        <v>0.95</v>
      </c>
      <c r="I220" s="7">
        <v>122.55</v>
      </c>
    </row>
    <row r="221" spans="1:9" hidden="1" x14ac:dyDescent="0.2">
      <c r="A221" t="s">
        <v>18</v>
      </c>
      <c r="B221" s="4" t="s">
        <v>169</v>
      </c>
      <c r="C221" s="5">
        <v>45883</v>
      </c>
      <c r="D221" t="s">
        <v>41</v>
      </c>
      <c r="E221" t="s">
        <v>52</v>
      </c>
      <c r="F221" t="s">
        <v>16</v>
      </c>
      <c r="G221" s="6">
        <v>153</v>
      </c>
      <c r="H221" s="7">
        <v>0.86</v>
      </c>
      <c r="I221" s="7">
        <v>131.58000000000001</v>
      </c>
    </row>
    <row r="222" spans="1:9" hidden="1" x14ac:dyDescent="0.2">
      <c r="A222" s="1" t="s">
        <v>18</v>
      </c>
      <c r="B222" s="8" t="s">
        <v>170</v>
      </c>
      <c r="C222" s="9">
        <v>45882</v>
      </c>
      <c r="D222" s="1" t="s">
        <v>31</v>
      </c>
      <c r="E222" s="1" t="s">
        <v>107</v>
      </c>
      <c r="F222" s="1" t="s">
        <v>16</v>
      </c>
      <c r="G222" s="10">
        <v>700</v>
      </c>
      <c r="H222" s="11" t="s">
        <v>17</v>
      </c>
      <c r="I222" s="11" t="s">
        <v>17</v>
      </c>
    </row>
    <row r="223" spans="1:9" hidden="1" x14ac:dyDescent="0.2">
      <c r="A223" t="s">
        <v>18</v>
      </c>
      <c r="B223" s="4" t="s">
        <v>170</v>
      </c>
      <c r="C223" s="5">
        <v>45882</v>
      </c>
      <c r="D223" t="s">
        <v>24</v>
      </c>
      <c r="E223" t="s">
        <v>129</v>
      </c>
      <c r="F223" t="s">
        <v>16</v>
      </c>
      <c r="G223" s="6">
        <v>800</v>
      </c>
      <c r="H223" s="7">
        <v>8.1000000000000003E-2</v>
      </c>
      <c r="I223" s="7">
        <v>54.88</v>
      </c>
    </row>
    <row r="224" spans="1:9" hidden="1" x14ac:dyDescent="0.2">
      <c r="A224" t="s">
        <v>18</v>
      </c>
      <c r="B224" s="4" t="s">
        <v>170</v>
      </c>
      <c r="C224" s="5">
        <v>45882</v>
      </c>
      <c r="D224" t="s">
        <v>35</v>
      </c>
      <c r="E224" t="s">
        <v>129</v>
      </c>
      <c r="F224" t="s">
        <v>16</v>
      </c>
      <c r="G224" s="6">
        <v>800</v>
      </c>
      <c r="H224" s="7">
        <v>0.17100000000000001</v>
      </c>
      <c r="I224" s="7">
        <v>137.16</v>
      </c>
    </row>
    <row r="225" spans="1:9" hidden="1" x14ac:dyDescent="0.2">
      <c r="A225" t="s">
        <v>18</v>
      </c>
      <c r="B225" s="4" t="s">
        <v>170</v>
      </c>
      <c r="C225" s="5">
        <v>45882</v>
      </c>
      <c r="D225" t="s">
        <v>24</v>
      </c>
      <c r="E225" t="s">
        <v>129</v>
      </c>
      <c r="F225" t="s">
        <v>16</v>
      </c>
      <c r="G225" s="6">
        <v>800</v>
      </c>
      <c r="H225" s="7">
        <v>9.4E-2</v>
      </c>
      <c r="I225" s="7">
        <v>63.96</v>
      </c>
    </row>
    <row r="226" spans="1:9" hidden="1" x14ac:dyDescent="0.2">
      <c r="A226" s="1" t="s">
        <v>18</v>
      </c>
      <c r="B226" s="8" t="s">
        <v>171</v>
      </c>
      <c r="C226" s="9">
        <v>45881</v>
      </c>
      <c r="D226" s="1" t="s">
        <v>31</v>
      </c>
      <c r="E226" s="1" t="s">
        <v>172</v>
      </c>
      <c r="F226" s="1" t="s">
        <v>16</v>
      </c>
      <c r="G226" s="10">
        <v>110</v>
      </c>
      <c r="H226" s="11" t="s">
        <v>17</v>
      </c>
      <c r="I226" s="11" t="s">
        <v>17</v>
      </c>
    </row>
    <row r="227" spans="1:9" hidden="1" x14ac:dyDescent="0.2">
      <c r="A227" s="1" t="s">
        <v>18</v>
      </c>
      <c r="B227" s="8" t="s">
        <v>171</v>
      </c>
      <c r="C227" s="9">
        <v>45881</v>
      </c>
      <c r="D227" s="1" t="s">
        <v>31</v>
      </c>
      <c r="E227" s="1" t="s">
        <v>154</v>
      </c>
      <c r="F227" s="1" t="s">
        <v>16</v>
      </c>
      <c r="G227" s="10">
        <v>500</v>
      </c>
      <c r="H227" s="11" t="s">
        <v>17</v>
      </c>
      <c r="I227" s="11" t="s">
        <v>17</v>
      </c>
    </row>
    <row r="228" spans="1:9" hidden="1" x14ac:dyDescent="0.2">
      <c r="A228" t="s">
        <v>18</v>
      </c>
      <c r="B228" s="4" t="s">
        <v>173</v>
      </c>
      <c r="C228" s="5">
        <v>45870</v>
      </c>
      <c r="D228" t="s">
        <v>24</v>
      </c>
      <c r="E228" t="s">
        <v>123</v>
      </c>
      <c r="F228" t="s">
        <v>16</v>
      </c>
      <c r="G228" s="6">
        <v>220</v>
      </c>
      <c r="H228" s="7">
        <v>1.7999999999999999E-2</v>
      </c>
      <c r="I228" s="7">
        <v>3.3</v>
      </c>
    </row>
    <row r="229" spans="1:9" hidden="1" x14ac:dyDescent="0.2">
      <c r="A229" s="1" t="s">
        <v>18</v>
      </c>
      <c r="B229" s="8" t="s">
        <v>174</v>
      </c>
      <c r="C229" s="9">
        <v>45867</v>
      </c>
      <c r="D229" s="1" t="s">
        <v>31</v>
      </c>
      <c r="E229" s="1" t="s">
        <v>76</v>
      </c>
      <c r="F229" s="1" t="s">
        <v>16</v>
      </c>
      <c r="G229" s="10">
        <v>200</v>
      </c>
      <c r="H229" s="11" t="s">
        <v>17</v>
      </c>
      <c r="I229" s="11" t="s">
        <v>17</v>
      </c>
    </row>
    <row r="230" spans="1:9" hidden="1" x14ac:dyDescent="0.2">
      <c r="A230" s="1" t="s">
        <v>18</v>
      </c>
      <c r="B230" s="8" t="s">
        <v>175</v>
      </c>
      <c r="C230" s="9">
        <v>45861</v>
      </c>
      <c r="D230" s="1" t="s">
        <v>31</v>
      </c>
      <c r="E230" s="1" t="s">
        <v>52</v>
      </c>
      <c r="F230" s="1" t="s">
        <v>16</v>
      </c>
      <c r="G230" s="10">
        <v>153</v>
      </c>
      <c r="H230" s="11" t="s">
        <v>17</v>
      </c>
      <c r="I230" s="11" t="s">
        <v>17</v>
      </c>
    </row>
    <row r="231" spans="1:9" hidden="1" x14ac:dyDescent="0.2">
      <c r="A231" t="s">
        <v>18</v>
      </c>
      <c r="B231" s="4" t="s">
        <v>176</v>
      </c>
      <c r="C231" s="5">
        <v>45855</v>
      </c>
      <c r="D231" t="s">
        <v>41</v>
      </c>
      <c r="E231" t="s">
        <v>114</v>
      </c>
      <c r="F231" t="s">
        <v>16</v>
      </c>
      <c r="G231" s="6">
        <v>188</v>
      </c>
      <c r="H231" s="7">
        <v>0.9</v>
      </c>
      <c r="I231" s="7">
        <v>169.2</v>
      </c>
    </row>
    <row r="232" spans="1:9" hidden="1" x14ac:dyDescent="0.2">
      <c r="A232" t="s">
        <v>18</v>
      </c>
      <c r="B232" s="4" t="s">
        <v>177</v>
      </c>
      <c r="C232" s="5">
        <v>45854</v>
      </c>
      <c r="D232" t="s">
        <v>41</v>
      </c>
      <c r="E232" t="s">
        <v>133</v>
      </c>
      <c r="F232" t="s">
        <v>16</v>
      </c>
      <c r="G232" s="6">
        <v>187</v>
      </c>
      <c r="H232" s="7">
        <v>0.84</v>
      </c>
      <c r="I232" s="7">
        <v>157.08000000000001</v>
      </c>
    </row>
    <row r="233" spans="1:9" hidden="1" x14ac:dyDescent="0.2">
      <c r="A233" t="s">
        <v>18</v>
      </c>
      <c r="B233" s="4" t="s">
        <v>178</v>
      </c>
      <c r="C233" s="5">
        <v>45852</v>
      </c>
      <c r="D233" t="s">
        <v>41</v>
      </c>
      <c r="E233" t="s">
        <v>50</v>
      </c>
      <c r="F233" t="s">
        <v>16</v>
      </c>
      <c r="G233" s="6">
        <v>99</v>
      </c>
      <c r="H233" s="7">
        <v>1.1000000000000001</v>
      </c>
      <c r="I233" s="7">
        <v>108.9</v>
      </c>
    </row>
    <row r="234" spans="1:9" hidden="1" x14ac:dyDescent="0.2">
      <c r="A234" t="s">
        <v>18</v>
      </c>
      <c r="B234" s="4" t="s">
        <v>178</v>
      </c>
      <c r="C234" s="5">
        <v>45852</v>
      </c>
      <c r="D234" t="s">
        <v>41</v>
      </c>
      <c r="E234" t="s">
        <v>51</v>
      </c>
      <c r="F234" t="s">
        <v>16</v>
      </c>
      <c r="G234" s="6">
        <v>129</v>
      </c>
      <c r="H234" s="7">
        <v>1.55</v>
      </c>
      <c r="I234" s="7">
        <v>199.95</v>
      </c>
    </row>
    <row r="235" spans="1:9" hidden="1" x14ac:dyDescent="0.2">
      <c r="A235" t="s">
        <v>18</v>
      </c>
      <c r="B235" s="4" t="s">
        <v>178</v>
      </c>
      <c r="C235" s="5">
        <v>45852</v>
      </c>
      <c r="D235" t="s">
        <v>41</v>
      </c>
      <c r="E235" t="s">
        <v>179</v>
      </c>
      <c r="F235" t="s">
        <v>16</v>
      </c>
      <c r="G235" s="6">
        <v>153</v>
      </c>
      <c r="H235" s="7">
        <v>0.86</v>
      </c>
      <c r="I235" s="7">
        <v>131.58000000000001</v>
      </c>
    </row>
    <row r="236" spans="1:9" hidden="1" x14ac:dyDescent="0.2">
      <c r="A236" t="s">
        <v>18</v>
      </c>
      <c r="B236" s="4" t="s">
        <v>180</v>
      </c>
      <c r="C236" s="5">
        <v>45845</v>
      </c>
      <c r="D236" t="s">
        <v>24</v>
      </c>
      <c r="E236" t="s">
        <v>63</v>
      </c>
      <c r="F236" t="s">
        <v>16</v>
      </c>
      <c r="G236" s="6">
        <v>700</v>
      </c>
      <c r="H236" s="7">
        <v>7.2999999999999995E-2</v>
      </c>
      <c r="I236" s="7">
        <v>43.33</v>
      </c>
    </row>
    <row r="237" spans="1:9" hidden="1" x14ac:dyDescent="0.2">
      <c r="A237" t="s">
        <v>18</v>
      </c>
      <c r="B237" s="4" t="s">
        <v>181</v>
      </c>
      <c r="C237" s="5">
        <v>45839</v>
      </c>
      <c r="D237" t="s">
        <v>24</v>
      </c>
      <c r="E237" t="s">
        <v>123</v>
      </c>
      <c r="F237" t="s">
        <v>16</v>
      </c>
      <c r="G237" s="6">
        <v>220</v>
      </c>
      <c r="H237" s="7">
        <v>1.7999999999999999E-2</v>
      </c>
      <c r="I237" s="7">
        <v>3.3</v>
      </c>
    </row>
    <row r="238" spans="1:9" hidden="1" x14ac:dyDescent="0.2">
      <c r="A238" t="s">
        <v>18</v>
      </c>
      <c r="B238" s="4" t="s">
        <v>182</v>
      </c>
      <c r="C238" s="5">
        <v>45828</v>
      </c>
      <c r="D238" t="s">
        <v>35</v>
      </c>
      <c r="E238" t="s">
        <v>154</v>
      </c>
      <c r="F238" t="s">
        <v>16</v>
      </c>
      <c r="G238" s="6">
        <v>500</v>
      </c>
      <c r="H238" s="7">
        <v>0.35499999999999998</v>
      </c>
      <c r="I238" s="7">
        <v>177.38</v>
      </c>
    </row>
    <row r="239" spans="1:9" hidden="1" x14ac:dyDescent="0.2">
      <c r="A239" t="s">
        <v>18</v>
      </c>
      <c r="B239" s="4" t="s">
        <v>182</v>
      </c>
      <c r="C239" s="5">
        <v>45828</v>
      </c>
      <c r="D239" t="s">
        <v>41</v>
      </c>
      <c r="E239" t="s">
        <v>154</v>
      </c>
      <c r="F239" t="s">
        <v>16</v>
      </c>
      <c r="G239" s="6">
        <v>500</v>
      </c>
      <c r="H239" s="7">
        <v>2.1999999999999999E-2</v>
      </c>
      <c r="I239" s="7">
        <v>8.34</v>
      </c>
    </row>
    <row r="240" spans="1:9" hidden="1" x14ac:dyDescent="0.2">
      <c r="A240" t="s">
        <v>18</v>
      </c>
      <c r="B240" s="4" t="s">
        <v>183</v>
      </c>
      <c r="C240" s="5">
        <v>45826</v>
      </c>
      <c r="D240" t="s">
        <v>41</v>
      </c>
      <c r="E240" t="s">
        <v>114</v>
      </c>
      <c r="F240" t="s">
        <v>16</v>
      </c>
      <c r="G240" s="6">
        <v>188</v>
      </c>
      <c r="H240" s="7">
        <v>0.9</v>
      </c>
      <c r="I240" s="7">
        <v>169.2</v>
      </c>
    </row>
    <row r="241" spans="1:9" hidden="1" x14ac:dyDescent="0.2">
      <c r="A241" s="1" t="s">
        <v>18</v>
      </c>
      <c r="B241" s="8" t="s">
        <v>183</v>
      </c>
      <c r="C241" s="9">
        <v>45826</v>
      </c>
      <c r="D241" s="1" t="s">
        <v>31</v>
      </c>
      <c r="E241" s="1" t="s">
        <v>129</v>
      </c>
      <c r="F241" s="1" t="s">
        <v>16</v>
      </c>
      <c r="G241" s="10">
        <v>800</v>
      </c>
      <c r="H241" s="11" t="s">
        <v>17</v>
      </c>
      <c r="I241" s="11" t="s">
        <v>17</v>
      </c>
    </row>
    <row r="242" spans="1:9" hidden="1" x14ac:dyDescent="0.2">
      <c r="A242" t="s">
        <v>18</v>
      </c>
      <c r="B242" s="4" t="s">
        <v>184</v>
      </c>
      <c r="C242" s="5">
        <v>45825</v>
      </c>
      <c r="D242" t="s">
        <v>41</v>
      </c>
      <c r="E242" t="s">
        <v>133</v>
      </c>
      <c r="F242" t="s">
        <v>16</v>
      </c>
      <c r="G242" s="6">
        <v>187</v>
      </c>
      <c r="H242" s="7">
        <v>0.82</v>
      </c>
      <c r="I242" s="7">
        <v>153.34</v>
      </c>
    </row>
    <row r="243" spans="1:9" hidden="1" x14ac:dyDescent="0.2">
      <c r="A243" t="s">
        <v>18</v>
      </c>
      <c r="B243" s="4" t="s">
        <v>185</v>
      </c>
      <c r="C243" s="5">
        <v>45821</v>
      </c>
      <c r="D243" t="s">
        <v>41</v>
      </c>
      <c r="E243" t="s">
        <v>50</v>
      </c>
      <c r="F243" t="s">
        <v>16</v>
      </c>
      <c r="G243" s="6">
        <v>99</v>
      </c>
      <c r="H243" s="7">
        <v>1.1000000000000001</v>
      </c>
      <c r="I243" s="7">
        <v>108.9</v>
      </c>
    </row>
    <row r="244" spans="1:9" hidden="1" x14ac:dyDescent="0.2">
      <c r="A244" t="s">
        <v>18</v>
      </c>
      <c r="B244" s="4" t="s">
        <v>185</v>
      </c>
      <c r="C244" s="5">
        <v>45821</v>
      </c>
      <c r="D244" t="s">
        <v>41</v>
      </c>
      <c r="E244" t="s">
        <v>51</v>
      </c>
      <c r="F244" t="s">
        <v>16</v>
      </c>
      <c r="G244" s="6">
        <v>129</v>
      </c>
      <c r="H244" s="7">
        <v>0.9</v>
      </c>
      <c r="I244" s="7">
        <v>116.1</v>
      </c>
    </row>
    <row r="245" spans="1:9" hidden="1" x14ac:dyDescent="0.2">
      <c r="A245" t="s">
        <v>18</v>
      </c>
      <c r="B245" s="4" t="s">
        <v>185</v>
      </c>
      <c r="C245" s="5">
        <v>45821</v>
      </c>
      <c r="D245" t="s">
        <v>41</v>
      </c>
      <c r="E245" t="s">
        <v>186</v>
      </c>
      <c r="F245" t="s">
        <v>16</v>
      </c>
      <c r="G245" s="6">
        <v>153</v>
      </c>
      <c r="H245" s="7">
        <v>0.85</v>
      </c>
      <c r="I245" s="7">
        <v>130.05000000000001</v>
      </c>
    </row>
    <row r="246" spans="1:9" hidden="1" x14ac:dyDescent="0.2">
      <c r="A246" t="s">
        <v>18</v>
      </c>
      <c r="B246" s="4" t="s">
        <v>187</v>
      </c>
      <c r="C246" s="5">
        <v>45820</v>
      </c>
      <c r="D246" t="s">
        <v>24</v>
      </c>
      <c r="E246" t="s">
        <v>107</v>
      </c>
      <c r="F246" t="s">
        <v>16</v>
      </c>
      <c r="G246" s="6">
        <v>700</v>
      </c>
      <c r="H246" s="7">
        <v>0.09</v>
      </c>
      <c r="I246" s="7">
        <v>53.82</v>
      </c>
    </row>
    <row r="247" spans="1:9" hidden="1" x14ac:dyDescent="0.2">
      <c r="A247" t="s">
        <v>18</v>
      </c>
      <c r="B247" s="4" t="s">
        <v>187</v>
      </c>
      <c r="C247" s="5">
        <v>45820</v>
      </c>
      <c r="D247" t="s">
        <v>24</v>
      </c>
      <c r="E247" t="s">
        <v>107</v>
      </c>
      <c r="F247" t="s">
        <v>16</v>
      </c>
      <c r="G247" s="6">
        <v>700</v>
      </c>
      <c r="H247" s="7">
        <v>0.33400000000000002</v>
      </c>
      <c r="I247" s="7">
        <v>198.89</v>
      </c>
    </row>
    <row r="248" spans="1:9" hidden="1" x14ac:dyDescent="0.2">
      <c r="A248" t="s">
        <v>18</v>
      </c>
      <c r="B248" s="4" t="s">
        <v>188</v>
      </c>
      <c r="C248" s="5">
        <v>45810</v>
      </c>
      <c r="D248" t="s">
        <v>24</v>
      </c>
      <c r="E248" t="s">
        <v>123</v>
      </c>
      <c r="F248" t="s">
        <v>16</v>
      </c>
      <c r="G248" s="6">
        <v>220</v>
      </c>
      <c r="H248" s="7">
        <v>1.7999999999999999E-2</v>
      </c>
      <c r="I248" s="7">
        <v>3.3</v>
      </c>
    </row>
    <row r="249" spans="1:9" hidden="1" x14ac:dyDescent="0.2">
      <c r="A249" s="1" t="s">
        <v>18</v>
      </c>
      <c r="B249" s="8" t="s">
        <v>189</v>
      </c>
      <c r="C249" s="9">
        <v>45806</v>
      </c>
      <c r="D249" s="1" t="s">
        <v>31</v>
      </c>
      <c r="E249" s="1" t="s">
        <v>107</v>
      </c>
      <c r="F249" s="1" t="s">
        <v>16</v>
      </c>
      <c r="G249" s="10">
        <v>700</v>
      </c>
      <c r="H249" s="11" t="s">
        <v>17</v>
      </c>
      <c r="I249" s="11" t="s">
        <v>17</v>
      </c>
    </row>
    <row r="250" spans="1:9" hidden="1" x14ac:dyDescent="0.2">
      <c r="A250" t="s">
        <v>18</v>
      </c>
      <c r="B250" s="4" t="s">
        <v>190</v>
      </c>
      <c r="C250" s="5">
        <v>45805</v>
      </c>
      <c r="D250" t="s">
        <v>24</v>
      </c>
      <c r="E250" t="s">
        <v>36</v>
      </c>
      <c r="F250" t="s">
        <v>16</v>
      </c>
      <c r="G250" s="6">
        <v>300</v>
      </c>
      <c r="H250" s="7">
        <v>0.191</v>
      </c>
      <c r="I250" s="7">
        <v>48.62</v>
      </c>
    </row>
    <row r="251" spans="1:9" hidden="1" x14ac:dyDescent="0.2">
      <c r="A251" t="s">
        <v>18</v>
      </c>
      <c r="B251" s="4" t="s">
        <v>190</v>
      </c>
      <c r="C251" s="5">
        <v>45805</v>
      </c>
      <c r="D251" t="s">
        <v>35</v>
      </c>
      <c r="E251" t="s">
        <v>36</v>
      </c>
      <c r="F251" t="s">
        <v>16</v>
      </c>
      <c r="G251" s="6">
        <v>300</v>
      </c>
      <c r="H251" s="7">
        <v>0.22</v>
      </c>
      <c r="I251" s="7">
        <v>66.03</v>
      </c>
    </row>
    <row r="252" spans="1:9" hidden="1" x14ac:dyDescent="0.2">
      <c r="A252" t="s">
        <v>18</v>
      </c>
      <c r="B252" s="4" t="s">
        <v>190</v>
      </c>
      <c r="C252" s="5">
        <v>45805</v>
      </c>
      <c r="D252" t="s">
        <v>35</v>
      </c>
      <c r="E252" t="s">
        <v>36</v>
      </c>
      <c r="F252" t="s">
        <v>16</v>
      </c>
      <c r="G252" s="6">
        <v>300</v>
      </c>
      <c r="H252" s="7">
        <v>1.6870000000000001</v>
      </c>
      <c r="I252" s="7">
        <v>506.01</v>
      </c>
    </row>
    <row r="253" spans="1:9" hidden="1" x14ac:dyDescent="0.2">
      <c r="A253" t="s">
        <v>18</v>
      </c>
      <c r="B253" s="4" t="s">
        <v>190</v>
      </c>
      <c r="C253" s="5">
        <v>45805</v>
      </c>
      <c r="D253" t="s">
        <v>35</v>
      </c>
      <c r="E253" t="s">
        <v>37</v>
      </c>
      <c r="F253" t="s">
        <v>16</v>
      </c>
      <c r="G253" s="6">
        <v>700</v>
      </c>
      <c r="H253" s="7">
        <v>0.55300000000000005</v>
      </c>
      <c r="I253" s="7">
        <v>387.31</v>
      </c>
    </row>
    <row r="254" spans="1:9" hidden="1" x14ac:dyDescent="0.2">
      <c r="A254" t="s">
        <v>18</v>
      </c>
      <c r="B254" s="4" t="s">
        <v>191</v>
      </c>
      <c r="C254" s="5">
        <v>45804</v>
      </c>
      <c r="D254" t="s">
        <v>35</v>
      </c>
      <c r="E254" t="s">
        <v>44</v>
      </c>
      <c r="F254" t="s">
        <v>16</v>
      </c>
      <c r="G254" s="6">
        <v>300</v>
      </c>
      <c r="H254" s="7">
        <v>1.143</v>
      </c>
      <c r="I254" s="7">
        <v>342.97</v>
      </c>
    </row>
    <row r="255" spans="1:9" hidden="1" x14ac:dyDescent="0.2">
      <c r="A255" t="s">
        <v>18</v>
      </c>
      <c r="B255" s="4" t="s">
        <v>192</v>
      </c>
      <c r="C255" s="5">
        <v>45797</v>
      </c>
      <c r="D255" t="s">
        <v>41</v>
      </c>
      <c r="E255" t="s">
        <v>114</v>
      </c>
      <c r="F255" t="s">
        <v>16</v>
      </c>
      <c r="G255" s="6">
        <v>188</v>
      </c>
      <c r="H255" s="7">
        <v>0.9</v>
      </c>
      <c r="I255" s="7">
        <v>169.2</v>
      </c>
    </row>
    <row r="256" spans="1:9" hidden="1" x14ac:dyDescent="0.2">
      <c r="A256" t="s">
        <v>18</v>
      </c>
      <c r="B256" s="4" t="s">
        <v>192</v>
      </c>
      <c r="C256" s="5">
        <v>45797</v>
      </c>
      <c r="D256" t="s">
        <v>35</v>
      </c>
      <c r="E256" t="s">
        <v>154</v>
      </c>
      <c r="F256" t="s">
        <v>16</v>
      </c>
      <c r="G256" s="6">
        <v>500</v>
      </c>
      <c r="H256" s="7">
        <v>0.35499999999999998</v>
      </c>
      <c r="I256" s="7">
        <v>177.38</v>
      </c>
    </row>
    <row r="257" spans="1:9" hidden="1" x14ac:dyDescent="0.2">
      <c r="A257" t="s">
        <v>18</v>
      </c>
      <c r="B257" s="4" t="s">
        <v>192</v>
      </c>
      <c r="C257" s="5">
        <v>45797</v>
      </c>
      <c r="D257" t="s">
        <v>41</v>
      </c>
      <c r="E257" t="s">
        <v>154</v>
      </c>
      <c r="F257" t="s">
        <v>16</v>
      </c>
      <c r="G257" s="6">
        <v>500</v>
      </c>
      <c r="H257" s="7">
        <v>1.7000000000000001E-2</v>
      </c>
      <c r="I257" s="7">
        <v>6.62</v>
      </c>
    </row>
    <row r="258" spans="1:9" hidden="1" x14ac:dyDescent="0.2">
      <c r="A258" t="s">
        <v>18</v>
      </c>
      <c r="B258" s="4" t="s">
        <v>193</v>
      </c>
      <c r="C258" s="5">
        <v>45796</v>
      </c>
      <c r="D258" t="s">
        <v>41</v>
      </c>
      <c r="E258" t="s">
        <v>133</v>
      </c>
      <c r="F258" t="s">
        <v>16</v>
      </c>
      <c r="G258" s="6">
        <v>187</v>
      </c>
      <c r="H258" s="7">
        <v>0.83</v>
      </c>
      <c r="I258" s="7">
        <v>155.21</v>
      </c>
    </row>
    <row r="259" spans="1:9" hidden="1" x14ac:dyDescent="0.2">
      <c r="A259" s="1" t="s">
        <v>18</v>
      </c>
      <c r="B259" s="8" t="s">
        <v>194</v>
      </c>
      <c r="C259" s="9">
        <v>45793</v>
      </c>
      <c r="D259" s="1" t="s">
        <v>31</v>
      </c>
      <c r="E259" s="1" t="s">
        <v>76</v>
      </c>
      <c r="F259" s="1" t="s">
        <v>16</v>
      </c>
      <c r="G259" s="10">
        <v>200</v>
      </c>
      <c r="H259" s="11" t="s">
        <v>17</v>
      </c>
      <c r="I259" s="11" t="s">
        <v>17</v>
      </c>
    </row>
    <row r="260" spans="1:9" hidden="1" x14ac:dyDescent="0.2">
      <c r="A260" t="s">
        <v>18</v>
      </c>
      <c r="B260" s="4" t="s">
        <v>195</v>
      </c>
      <c r="C260" s="5">
        <v>45792</v>
      </c>
      <c r="D260" t="s">
        <v>41</v>
      </c>
      <c r="E260" t="s">
        <v>50</v>
      </c>
      <c r="F260" t="s">
        <v>16</v>
      </c>
      <c r="G260" s="6">
        <v>99</v>
      </c>
      <c r="H260" s="7">
        <v>1.1000000000000001</v>
      </c>
      <c r="I260" s="7">
        <v>108.9</v>
      </c>
    </row>
    <row r="261" spans="1:9" hidden="1" x14ac:dyDescent="0.2">
      <c r="A261" t="s">
        <v>18</v>
      </c>
      <c r="B261" s="4" t="s">
        <v>195</v>
      </c>
      <c r="C261" s="5">
        <v>45792</v>
      </c>
      <c r="D261" t="s">
        <v>41</v>
      </c>
      <c r="E261" t="s">
        <v>51</v>
      </c>
      <c r="F261" t="s">
        <v>16</v>
      </c>
      <c r="G261" s="6">
        <v>129</v>
      </c>
      <c r="H261" s="7">
        <v>0.9</v>
      </c>
      <c r="I261" s="7">
        <v>116.1</v>
      </c>
    </row>
    <row r="262" spans="1:9" hidden="1" x14ac:dyDescent="0.2">
      <c r="A262" t="s">
        <v>18</v>
      </c>
      <c r="B262" s="4" t="s">
        <v>195</v>
      </c>
      <c r="C262" s="5">
        <v>45792</v>
      </c>
      <c r="D262" t="s">
        <v>41</v>
      </c>
      <c r="E262" t="s">
        <v>186</v>
      </c>
      <c r="F262" t="s">
        <v>16</v>
      </c>
      <c r="G262" s="6">
        <v>153</v>
      </c>
      <c r="H262" s="7">
        <v>0.85</v>
      </c>
      <c r="I262" s="7">
        <v>130.05000000000001</v>
      </c>
    </row>
    <row r="263" spans="1:9" hidden="1" x14ac:dyDescent="0.2">
      <c r="A263" t="s">
        <v>18</v>
      </c>
      <c r="B263" s="4" t="s">
        <v>196</v>
      </c>
      <c r="C263" s="5">
        <v>45786</v>
      </c>
      <c r="D263" t="s">
        <v>35</v>
      </c>
      <c r="E263" t="s">
        <v>57</v>
      </c>
      <c r="F263" t="s">
        <v>16</v>
      </c>
      <c r="G263" s="6">
        <v>830</v>
      </c>
      <c r="H263" s="7">
        <v>0.46600000000000003</v>
      </c>
      <c r="I263" s="7">
        <v>386.89</v>
      </c>
    </row>
    <row r="264" spans="1:9" hidden="1" x14ac:dyDescent="0.2">
      <c r="A264" t="s">
        <v>18</v>
      </c>
      <c r="B264" s="4" t="s">
        <v>197</v>
      </c>
      <c r="C264" s="5">
        <v>45782</v>
      </c>
      <c r="D264" t="s">
        <v>35</v>
      </c>
      <c r="E264" t="s">
        <v>172</v>
      </c>
      <c r="F264" t="s">
        <v>16</v>
      </c>
      <c r="G264" s="6">
        <v>110</v>
      </c>
      <c r="H264" s="7">
        <v>0.30499999999999999</v>
      </c>
      <c r="I264" s="7">
        <v>33.56</v>
      </c>
    </row>
    <row r="265" spans="1:9" hidden="1" x14ac:dyDescent="0.2">
      <c r="A265" t="s">
        <v>18</v>
      </c>
      <c r="B265" s="4" t="s">
        <v>198</v>
      </c>
      <c r="C265" s="5">
        <v>45779</v>
      </c>
      <c r="D265" t="s">
        <v>24</v>
      </c>
      <c r="E265" t="s">
        <v>123</v>
      </c>
      <c r="F265" t="s">
        <v>16</v>
      </c>
      <c r="G265" s="6">
        <v>220</v>
      </c>
      <c r="H265" s="7">
        <v>1.7999999999999999E-2</v>
      </c>
      <c r="I265" s="7">
        <v>3.3</v>
      </c>
    </row>
    <row r="266" spans="1:9" hidden="1" x14ac:dyDescent="0.2">
      <c r="A266" t="s">
        <v>18</v>
      </c>
      <c r="B266" s="4" t="s">
        <v>199</v>
      </c>
      <c r="C266" s="5">
        <v>45764</v>
      </c>
      <c r="D266" t="s">
        <v>41</v>
      </c>
      <c r="E266" t="s">
        <v>114</v>
      </c>
      <c r="F266" t="s">
        <v>16</v>
      </c>
      <c r="G266" s="6">
        <v>188</v>
      </c>
      <c r="H266" s="7">
        <v>0.9</v>
      </c>
      <c r="I266" s="7">
        <v>169.2</v>
      </c>
    </row>
    <row r="267" spans="1:9" hidden="1" x14ac:dyDescent="0.2">
      <c r="A267" t="s">
        <v>18</v>
      </c>
      <c r="B267" s="4" t="s">
        <v>200</v>
      </c>
      <c r="C267" s="5">
        <v>45763</v>
      </c>
      <c r="D267" t="s">
        <v>41</v>
      </c>
      <c r="E267" t="s">
        <v>133</v>
      </c>
      <c r="F267" t="s">
        <v>16</v>
      </c>
      <c r="G267" s="6">
        <v>187</v>
      </c>
      <c r="H267" s="7">
        <v>0.72</v>
      </c>
      <c r="I267" s="7">
        <v>134.63999999999999</v>
      </c>
    </row>
    <row r="268" spans="1:9" hidden="1" x14ac:dyDescent="0.2">
      <c r="A268" t="s">
        <v>18</v>
      </c>
      <c r="B268" s="4" t="s">
        <v>201</v>
      </c>
      <c r="C268" s="5">
        <v>45761</v>
      </c>
      <c r="D268" t="s">
        <v>41</v>
      </c>
      <c r="E268" t="s">
        <v>50</v>
      </c>
      <c r="F268" t="s">
        <v>16</v>
      </c>
      <c r="G268" s="6">
        <v>99</v>
      </c>
      <c r="H268" s="7">
        <v>1.1000000000000001</v>
      </c>
      <c r="I268" s="7">
        <v>108.9</v>
      </c>
    </row>
    <row r="269" spans="1:9" hidden="1" x14ac:dyDescent="0.2">
      <c r="A269" t="s">
        <v>18</v>
      </c>
      <c r="B269" s="4" t="s">
        <v>201</v>
      </c>
      <c r="C269" s="5">
        <v>45761</v>
      </c>
      <c r="D269" t="s">
        <v>41</v>
      </c>
      <c r="E269" t="s">
        <v>51</v>
      </c>
      <c r="F269" t="s">
        <v>16</v>
      </c>
      <c r="G269" s="6">
        <v>129</v>
      </c>
      <c r="H269" s="7">
        <v>0.9</v>
      </c>
      <c r="I269" s="7">
        <v>116.1</v>
      </c>
    </row>
    <row r="270" spans="1:9" hidden="1" x14ac:dyDescent="0.2">
      <c r="A270" t="s">
        <v>18</v>
      </c>
      <c r="B270" s="4" t="s">
        <v>201</v>
      </c>
      <c r="C270" s="5">
        <v>45761</v>
      </c>
      <c r="D270" t="s">
        <v>41</v>
      </c>
      <c r="E270" t="s">
        <v>186</v>
      </c>
      <c r="F270" t="s">
        <v>16</v>
      </c>
      <c r="G270" s="6">
        <v>153</v>
      </c>
      <c r="H270" s="7">
        <v>0.85</v>
      </c>
      <c r="I270" s="7">
        <v>130.05000000000001</v>
      </c>
    </row>
    <row r="271" spans="1:9" hidden="1" x14ac:dyDescent="0.2">
      <c r="A271" t="s">
        <v>18</v>
      </c>
      <c r="B271" s="4" t="s">
        <v>202</v>
      </c>
      <c r="C271" s="5">
        <v>45754</v>
      </c>
      <c r="D271" t="s">
        <v>24</v>
      </c>
      <c r="E271" t="s">
        <v>63</v>
      </c>
      <c r="F271" t="s">
        <v>16</v>
      </c>
      <c r="G271" s="6">
        <v>700</v>
      </c>
      <c r="H271" s="7">
        <v>6.3E-2</v>
      </c>
      <c r="I271" s="7">
        <v>37.380000000000003</v>
      </c>
    </row>
    <row r="272" spans="1:9" hidden="1" x14ac:dyDescent="0.2">
      <c r="A272" t="s">
        <v>18</v>
      </c>
      <c r="B272" s="4" t="s">
        <v>203</v>
      </c>
      <c r="C272" s="5">
        <v>45748</v>
      </c>
      <c r="D272" t="s">
        <v>24</v>
      </c>
      <c r="E272" t="s">
        <v>123</v>
      </c>
      <c r="F272" t="s">
        <v>16</v>
      </c>
      <c r="G272" s="6">
        <v>200</v>
      </c>
      <c r="H272" s="7">
        <v>1.7999999999999999E-2</v>
      </c>
      <c r="I272" s="7">
        <v>3.01</v>
      </c>
    </row>
    <row r="273" spans="1:9" hidden="1" x14ac:dyDescent="0.2">
      <c r="A273" t="s">
        <v>18</v>
      </c>
      <c r="B273" s="4" t="s">
        <v>204</v>
      </c>
      <c r="C273" s="5">
        <v>45747</v>
      </c>
      <c r="D273" t="s">
        <v>24</v>
      </c>
      <c r="E273" t="s">
        <v>152</v>
      </c>
      <c r="F273" t="s">
        <v>16</v>
      </c>
      <c r="G273" s="6">
        <v>500</v>
      </c>
      <c r="H273" s="7">
        <v>5.1999999999999998E-2</v>
      </c>
      <c r="I273" s="7">
        <v>22.11</v>
      </c>
    </row>
    <row r="274" spans="1:9" hidden="1" x14ac:dyDescent="0.2">
      <c r="A274" t="s">
        <v>18</v>
      </c>
      <c r="B274" s="4" t="s">
        <v>205</v>
      </c>
      <c r="C274" s="5">
        <v>45737</v>
      </c>
      <c r="D274" t="s">
        <v>24</v>
      </c>
      <c r="E274" t="s">
        <v>107</v>
      </c>
      <c r="F274" t="s">
        <v>16</v>
      </c>
      <c r="G274" s="6">
        <v>700</v>
      </c>
      <c r="H274" s="7">
        <v>0.14899999999999999</v>
      </c>
      <c r="I274" s="7">
        <v>88.86</v>
      </c>
    </row>
    <row r="275" spans="1:9" hidden="1" x14ac:dyDescent="0.2">
      <c r="A275" t="s">
        <v>18</v>
      </c>
      <c r="B275" s="4" t="s">
        <v>205</v>
      </c>
      <c r="C275" s="5">
        <v>45737</v>
      </c>
      <c r="D275" t="s">
        <v>41</v>
      </c>
      <c r="E275" t="s">
        <v>114</v>
      </c>
      <c r="F275" t="s">
        <v>16</v>
      </c>
      <c r="G275" s="6">
        <v>188</v>
      </c>
      <c r="H275" s="7">
        <v>0.9</v>
      </c>
      <c r="I275" s="7">
        <v>169.2</v>
      </c>
    </row>
    <row r="276" spans="1:9" hidden="1" x14ac:dyDescent="0.2">
      <c r="A276" t="s">
        <v>18</v>
      </c>
      <c r="B276" s="4" t="s">
        <v>206</v>
      </c>
      <c r="C276" s="5">
        <v>45736</v>
      </c>
      <c r="D276" t="s">
        <v>24</v>
      </c>
      <c r="E276" t="s">
        <v>107</v>
      </c>
      <c r="F276" t="s">
        <v>16</v>
      </c>
      <c r="G276" s="6">
        <v>700</v>
      </c>
      <c r="H276" s="7">
        <v>0.34300000000000003</v>
      </c>
      <c r="I276" s="7">
        <v>203.84</v>
      </c>
    </row>
    <row r="277" spans="1:9" hidden="1" x14ac:dyDescent="0.2">
      <c r="A277" t="s">
        <v>18</v>
      </c>
      <c r="B277" s="4" t="s">
        <v>206</v>
      </c>
      <c r="C277" s="5">
        <v>45736</v>
      </c>
      <c r="D277" t="s">
        <v>41</v>
      </c>
      <c r="E277" t="s">
        <v>107</v>
      </c>
      <c r="F277" t="s">
        <v>16</v>
      </c>
      <c r="G277" s="6">
        <v>700</v>
      </c>
      <c r="H277" s="7">
        <v>8.9999999999999993E-3</v>
      </c>
      <c r="I277" s="7">
        <v>4.8499999999999996</v>
      </c>
    </row>
    <row r="278" spans="1:9" hidden="1" x14ac:dyDescent="0.2">
      <c r="A278" t="s">
        <v>18</v>
      </c>
      <c r="B278" s="4" t="s">
        <v>206</v>
      </c>
      <c r="C278" s="5">
        <v>45736</v>
      </c>
      <c r="D278" t="s">
        <v>35</v>
      </c>
      <c r="E278" t="s">
        <v>107</v>
      </c>
      <c r="F278" t="s">
        <v>16</v>
      </c>
      <c r="G278" s="6">
        <v>700</v>
      </c>
      <c r="H278" s="7">
        <v>0.13600000000000001</v>
      </c>
      <c r="I278" s="7">
        <v>95.2</v>
      </c>
    </row>
    <row r="279" spans="1:9" hidden="1" x14ac:dyDescent="0.2">
      <c r="A279" t="s">
        <v>18</v>
      </c>
      <c r="B279" s="4" t="s">
        <v>206</v>
      </c>
      <c r="C279" s="5">
        <v>45736</v>
      </c>
      <c r="D279" t="s">
        <v>41</v>
      </c>
      <c r="E279" t="s">
        <v>107</v>
      </c>
      <c r="F279" t="s">
        <v>16</v>
      </c>
      <c r="G279" s="6">
        <v>700</v>
      </c>
      <c r="H279" s="7">
        <v>4.0000000000000001E-3</v>
      </c>
      <c r="I279" s="7">
        <v>1.93</v>
      </c>
    </row>
    <row r="280" spans="1:9" hidden="1" x14ac:dyDescent="0.2">
      <c r="A280" t="s">
        <v>18</v>
      </c>
      <c r="B280" s="4" t="s">
        <v>206</v>
      </c>
      <c r="C280" s="5">
        <v>45736</v>
      </c>
      <c r="D280" t="s">
        <v>41</v>
      </c>
      <c r="E280" t="s">
        <v>133</v>
      </c>
      <c r="F280" t="s">
        <v>16</v>
      </c>
      <c r="G280" s="6">
        <v>187</v>
      </c>
      <c r="H280" s="7">
        <v>0.8</v>
      </c>
      <c r="I280" s="7">
        <v>149.6</v>
      </c>
    </row>
    <row r="281" spans="1:9" hidden="1" x14ac:dyDescent="0.2">
      <c r="A281" t="s">
        <v>18</v>
      </c>
      <c r="B281" s="4" t="s">
        <v>206</v>
      </c>
      <c r="C281" s="5">
        <v>45736</v>
      </c>
      <c r="D281" t="s">
        <v>41</v>
      </c>
      <c r="E281" t="s">
        <v>154</v>
      </c>
      <c r="F281" t="s">
        <v>16</v>
      </c>
      <c r="G281" s="6">
        <v>500</v>
      </c>
      <c r="H281" s="7" t="s">
        <v>17</v>
      </c>
      <c r="I281" s="7">
        <v>0.11</v>
      </c>
    </row>
    <row r="282" spans="1:9" hidden="1" x14ac:dyDescent="0.2">
      <c r="A282" t="s">
        <v>18</v>
      </c>
      <c r="B282" s="4" t="s">
        <v>206</v>
      </c>
      <c r="C282" s="5">
        <v>45736</v>
      </c>
      <c r="D282" t="s">
        <v>35</v>
      </c>
      <c r="E282" t="s">
        <v>154</v>
      </c>
      <c r="F282" t="s">
        <v>16</v>
      </c>
      <c r="G282" s="6">
        <v>500</v>
      </c>
      <c r="H282" s="7">
        <v>0.65400000000000003</v>
      </c>
      <c r="I282" s="7">
        <v>326.77999999999997</v>
      </c>
    </row>
    <row r="283" spans="1:9" hidden="1" x14ac:dyDescent="0.2">
      <c r="A283" t="s">
        <v>18</v>
      </c>
      <c r="B283" s="4" t="s">
        <v>206</v>
      </c>
      <c r="C283" s="5">
        <v>45736</v>
      </c>
      <c r="D283" t="s">
        <v>41</v>
      </c>
      <c r="E283" t="s">
        <v>154</v>
      </c>
      <c r="F283" t="s">
        <v>16</v>
      </c>
      <c r="G283" s="6">
        <v>500</v>
      </c>
      <c r="H283" s="7">
        <v>1.7000000000000001E-2</v>
      </c>
      <c r="I283" s="7">
        <v>6.62</v>
      </c>
    </row>
    <row r="284" spans="1:9" hidden="1" x14ac:dyDescent="0.2">
      <c r="A284" t="s">
        <v>18</v>
      </c>
      <c r="B284" s="4" t="s">
        <v>206</v>
      </c>
      <c r="C284" s="5">
        <v>45736</v>
      </c>
      <c r="D284" t="s">
        <v>24</v>
      </c>
      <c r="E284" t="s">
        <v>154</v>
      </c>
      <c r="F284" t="s">
        <v>16</v>
      </c>
      <c r="G284" s="6">
        <v>500</v>
      </c>
      <c r="H284" s="7">
        <v>1.0999999999999999E-2</v>
      </c>
      <c r="I284" s="7">
        <v>4.4800000000000004</v>
      </c>
    </row>
    <row r="285" spans="1:9" hidden="1" x14ac:dyDescent="0.2">
      <c r="A285" s="12" t="s">
        <v>18</v>
      </c>
      <c r="B285" s="13" t="s">
        <v>207</v>
      </c>
      <c r="C285" s="14">
        <v>45735</v>
      </c>
      <c r="D285" s="12" t="s">
        <v>111</v>
      </c>
      <c r="E285" s="12" t="s">
        <v>123</v>
      </c>
      <c r="F285" s="12" t="s">
        <v>16</v>
      </c>
      <c r="G285" s="15">
        <v>20</v>
      </c>
      <c r="H285" s="16" t="s">
        <v>17</v>
      </c>
      <c r="I285" s="16" t="s">
        <v>17</v>
      </c>
    </row>
    <row r="286" spans="1:9" hidden="1" x14ac:dyDescent="0.2">
      <c r="A286" t="s">
        <v>18</v>
      </c>
      <c r="B286" s="4" t="s">
        <v>208</v>
      </c>
      <c r="C286" s="5">
        <v>45734</v>
      </c>
      <c r="D286" t="s">
        <v>41</v>
      </c>
      <c r="E286" t="s">
        <v>50</v>
      </c>
      <c r="F286" t="s">
        <v>16</v>
      </c>
      <c r="G286" s="6">
        <v>99</v>
      </c>
      <c r="H286" s="7">
        <v>1.1000000000000001</v>
      </c>
      <c r="I286" s="7">
        <v>108.9</v>
      </c>
    </row>
    <row r="287" spans="1:9" hidden="1" x14ac:dyDescent="0.2">
      <c r="A287" t="s">
        <v>18</v>
      </c>
      <c r="B287" s="4" t="s">
        <v>208</v>
      </c>
      <c r="C287" s="5">
        <v>45734</v>
      </c>
      <c r="D287" t="s">
        <v>41</v>
      </c>
      <c r="E287" t="s">
        <v>51</v>
      </c>
      <c r="F287" t="s">
        <v>16</v>
      </c>
      <c r="G287" s="6">
        <v>129</v>
      </c>
      <c r="H287" s="7">
        <v>0.9</v>
      </c>
      <c r="I287" s="7">
        <v>116.1</v>
      </c>
    </row>
    <row r="288" spans="1:9" hidden="1" x14ac:dyDescent="0.2">
      <c r="A288" t="s">
        <v>18</v>
      </c>
      <c r="B288" s="4" t="s">
        <v>208</v>
      </c>
      <c r="C288" s="5">
        <v>45734</v>
      </c>
      <c r="D288" t="s">
        <v>41</v>
      </c>
      <c r="E288" t="s">
        <v>186</v>
      </c>
      <c r="F288" t="s">
        <v>16</v>
      </c>
      <c r="G288" s="6">
        <v>153</v>
      </c>
      <c r="H288" s="7">
        <v>0.85</v>
      </c>
      <c r="I288" s="7">
        <v>130.05000000000001</v>
      </c>
    </row>
    <row r="289" spans="1:9" hidden="1" x14ac:dyDescent="0.2">
      <c r="A289" s="1" t="s">
        <v>18</v>
      </c>
      <c r="B289" s="8" t="s">
        <v>209</v>
      </c>
      <c r="C289" s="9">
        <v>45733</v>
      </c>
      <c r="D289" s="1" t="s">
        <v>31</v>
      </c>
      <c r="E289" s="1" t="s">
        <v>154</v>
      </c>
      <c r="F289" s="1" t="s">
        <v>16</v>
      </c>
      <c r="G289" s="10">
        <v>500</v>
      </c>
      <c r="H289" s="11" t="s">
        <v>17</v>
      </c>
      <c r="I289" s="11" t="s">
        <v>17</v>
      </c>
    </row>
    <row r="290" spans="1:9" hidden="1" x14ac:dyDescent="0.2">
      <c r="A290" t="s">
        <v>18</v>
      </c>
      <c r="B290" s="4" t="s">
        <v>210</v>
      </c>
      <c r="C290" s="5">
        <v>45730</v>
      </c>
      <c r="D290" t="s">
        <v>24</v>
      </c>
      <c r="E290" t="s">
        <v>76</v>
      </c>
      <c r="F290" t="s">
        <v>16</v>
      </c>
      <c r="G290" s="6">
        <v>200</v>
      </c>
      <c r="H290" s="7">
        <v>0.52100000000000002</v>
      </c>
      <c r="I290" s="7">
        <v>88.49</v>
      </c>
    </row>
    <row r="291" spans="1:9" hidden="1" x14ac:dyDescent="0.2">
      <c r="A291" t="s">
        <v>18</v>
      </c>
      <c r="B291" s="4" t="s">
        <v>210</v>
      </c>
      <c r="C291" s="5">
        <v>45730</v>
      </c>
      <c r="D291" t="s">
        <v>35</v>
      </c>
      <c r="E291" t="s">
        <v>76</v>
      </c>
      <c r="F291" t="s">
        <v>16</v>
      </c>
      <c r="G291" s="6">
        <v>200</v>
      </c>
      <c r="H291" s="7">
        <v>2.1419999999999999</v>
      </c>
      <c r="I291" s="7">
        <v>428.36</v>
      </c>
    </row>
    <row r="292" spans="1:9" hidden="1" x14ac:dyDescent="0.2">
      <c r="A292" t="s">
        <v>18</v>
      </c>
      <c r="B292" s="4" t="s">
        <v>211</v>
      </c>
      <c r="C292" s="5">
        <v>45728</v>
      </c>
      <c r="D292" t="s">
        <v>35</v>
      </c>
      <c r="E292" t="s">
        <v>129</v>
      </c>
      <c r="F292" t="s">
        <v>16</v>
      </c>
      <c r="G292" s="6">
        <v>800</v>
      </c>
      <c r="H292" s="7">
        <v>0.30299999999999999</v>
      </c>
      <c r="I292" s="7">
        <v>242.12</v>
      </c>
    </row>
    <row r="293" spans="1:9" hidden="1" x14ac:dyDescent="0.2">
      <c r="A293" t="s">
        <v>18</v>
      </c>
      <c r="B293" s="4" t="s">
        <v>211</v>
      </c>
      <c r="C293" s="5">
        <v>45728</v>
      </c>
      <c r="D293" t="s">
        <v>24</v>
      </c>
      <c r="E293" t="s">
        <v>129</v>
      </c>
      <c r="F293" t="s">
        <v>16</v>
      </c>
      <c r="G293" s="6">
        <v>800</v>
      </c>
      <c r="H293" s="7">
        <v>0.08</v>
      </c>
      <c r="I293" s="7">
        <v>54.24</v>
      </c>
    </row>
    <row r="294" spans="1:9" hidden="1" x14ac:dyDescent="0.2">
      <c r="A294" t="s">
        <v>18</v>
      </c>
      <c r="B294" s="4" t="s">
        <v>211</v>
      </c>
      <c r="C294" s="5">
        <v>45728</v>
      </c>
      <c r="D294" t="s">
        <v>24</v>
      </c>
      <c r="E294" t="s">
        <v>129</v>
      </c>
      <c r="F294" t="s">
        <v>16</v>
      </c>
      <c r="G294" s="6">
        <v>800</v>
      </c>
      <c r="H294" s="7">
        <v>7.0000000000000007E-2</v>
      </c>
      <c r="I294" s="7">
        <v>47.64</v>
      </c>
    </row>
    <row r="295" spans="1:9" hidden="1" x14ac:dyDescent="0.2">
      <c r="A295" t="s">
        <v>18</v>
      </c>
      <c r="B295" s="4" t="s">
        <v>212</v>
      </c>
      <c r="C295" s="5">
        <v>45723</v>
      </c>
      <c r="D295" t="s">
        <v>24</v>
      </c>
      <c r="E295" t="s">
        <v>123</v>
      </c>
      <c r="F295" t="s">
        <v>16</v>
      </c>
      <c r="G295" s="6">
        <v>200</v>
      </c>
      <c r="H295" s="7">
        <v>0.27300000000000002</v>
      </c>
      <c r="I295" s="7">
        <v>46.41</v>
      </c>
    </row>
    <row r="296" spans="1:9" hidden="1" x14ac:dyDescent="0.2">
      <c r="A296" t="s">
        <v>18</v>
      </c>
      <c r="B296" s="4" t="s">
        <v>212</v>
      </c>
      <c r="C296" s="5">
        <v>45723</v>
      </c>
      <c r="D296" t="s">
        <v>35</v>
      </c>
      <c r="E296" t="s">
        <v>123</v>
      </c>
      <c r="F296" t="s">
        <v>16</v>
      </c>
      <c r="G296" s="6">
        <v>200</v>
      </c>
      <c r="H296" s="7">
        <v>1.2509999999999999</v>
      </c>
      <c r="I296" s="7">
        <v>250.18</v>
      </c>
    </row>
    <row r="297" spans="1:9" hidden="1" x14ac:dyDescent="0.2">
      <c r="A297" t="s">
        <v>18</v>
      </c>
      <c r="B297" s="4" t="s">
        <v>212</v>
      </c>
      <c r="C297" s="5">
        <v>45723</v>
      </c>
      <c r="D297" t="s">
        <v>24</v>
      </c>
      <c r="E297" t="s">
        <v>123</v>
      </c>
      <c r="F297" t="s">
        <v>16</v>
      </c>
      <c r="G297" s="6">
        <v>200</v>
      </c>
      <c r="H297" s="7">
        <v>0.311</v>
      </c>
      <c r="I297" s="7">
        <v>52.8</v>
      </c>
    </row>
    <row r="298" spans="1:9" hidden="1" x14ac:dyDescent="0.2">
      <c r="A298" t="s">
        <v>18</v>
      </c>
      <c r="B298" s="4" t="s">
        <v>212</v>
      </c>
      <c r="C298" s="5">
        <v>45723</v>
      </c>
      <c r="D298" t="s">
        <v>24</v>
      </c>
      <c r="E298" t="s">
        <v>123</v>
      </c>
      <c r="F298" t="s">
        <v>16</v>
      </c>
      <c r="G298" s="6">
        <v>200</v>
      </c>
      <c r="H298" s="7">
        <v>0.33300000000000002</v>
      </c>
      <c r="I298" s="7">
        <v>56.68</v>
      </c>
    </row>
    <row r="299" spans="1:9" hidden="1" x14ac:dyDescent="0.2">
      <c r="A299" t="s">
        <v>18</v>
      </c>
      <c r="B299" s="4" t="s">
        <v>213</v>
      </c>
      <c r="C299" s="5">
        <v>45722</v>
      </c>
      <c r="D299" t="s">
        <v>24</v>
      </c>
      <c r="E299" t="s">
        <v>123</v>
      </c>
      <c r="F299" t="s">
        <v>16</v>
      </c>
      <c r="G299" s="6">
        <v>200</v>
      </c>
      <c r="H299" s="7">
        <v>1.7999999999999999E-2</v>
      </c>
      <c r="I299" s="7">
        <v>3.01</v>
      </c>
    </row>
    <row r="300" spans="1:9" hidden="1" x14ac:dyDescent="0.2">
      <c r="A300" t="s">
        <v>18</v>
      </c>
      <c r="B300" s="4" t="s">
        <v>214</v>
      </c>
      <c r="C300" s="5">
        <v>45708</v>
      </c>
      <c r="D300" t="s">
        <v>24</v>
      </c>
      <c r="E300" t="s">
        <v>154</v>
      </c>
      <c r="F300" t="s">
        <v>16</v>
      </c>
      <c r="G300" s="6">
        <v>500</v>
      </c>
      <c r="H300" s="7">
        <v>0.66400000000000003</v>
      </c>
      <c r="I300" s="7">
        <v>282.25</v>
      </c>
    </row>
    <row r="301" spans="1:9" hidden="1" x14ac:dyDescent="0.2">
      <c r="A301" t="s">
        <v>18</v>
      </c>
      <c r="B301" s="4" t="s">
        <v>214</v>
      </c>
      <c r="C301" s="5">
        <v>45708</v>
      </c>
      <c r="D301" t="s">
        <v>41</v>
      </c>
      <c r="E301" t="s">
        <v>154</v>
      </c>
      <c r="F301" t="s">
        <v>215</v>
      </c>
      <c r="G301" s="6">
        <v>500</v>
      </c>
      <c r="H301" s="7">
        <v>1.0999999999999999E-2</v>
      </c>
      <c r="I301" s="7">
        <v>4.4000000000000004</v>
      </c>
    </row>
    <row r="302" spans="1:9" hidden="1" x14ac:dyDescent="0.2">
      <c r="A302" t="s">
        <v>18</v>
      </c>
      <c r="B302" s="4" t="s">
        <v>216</v>
      </c>
      <c r="C302" s="5">
        <v>45707</v>
      </c>
      <c r="D302" t="s">
        <v>41</v>
      </c>
      <c r="E302" t="s">
        <v>114</v>
      </c>
      <c r="F302" t="s">
        <v>16</v>
      </c>
      <c r="G302" s="6">
        <v>188</v>
      </c>
      <c r="H302" s="7">
        <v>0.9</v>
      </c>
      <c r="I302" s="7">
        <v>169.2</v>
      </c>
    </row>
    <row r="303" spans="1:9" hidden="1" x14ac:dyDescent="0.2">
      <c r="A303" t="s">
        <v>18</v>
      </c>
      <c r="B303" s="4" t="s">
        <v>217</v>
      </c>
      <c r="C303" s="5">
        <v>45706</v>
      </c>
      <c r="D303" t="s">
        <v>41</v>
      </c>
      <c r="E303" t="s">
        <v>133</v>
      </c>
      <c r="F303" t="s">
        <v>16</v>
      </c>
      <c r="G303" s="6">
        <v>187</v>
      </c>
      <c r="H303" s="7">
        <v>0.75</v>
      </c>
      <c r="I303" s="7">
        <v>140.25</v>
      </c>
    </row>
    <row r="304" spans="1:9" hidden="1" x14ac:dyDescent="0.2">
      <c r="A304" t="s">
        <v>18</v>
      </c>
      <c r="B304" s="4" t="s">
        <v>218</v>
      </c>
      <c r="C304" s="5">
        <v>45702</v>
      </c>
      <c r="D304" t="s">
        <v>219</v>
      </c>
      <c r="E304" t="s">
        <v>63</v>
      </c>
      <c r="F304" t="s">
        <v>16</v>
      </c>
      <c r="G304" s="6">
        <v>700</v>
      </c>
      <c r="H304" s="7" t="s">
        <v>17</v>
      </c>
      <c r="I304" s="7" t="s">
        <v>17</v>
      </c>
    </row>
    <row r="305" spans="1:9" hidden="1" x14ac:dyDescent="0.2">
      <c r="A305" t="s">
        <v>8</v>
      </c>
      <c r="B305" s="4" t="s">
        <v>218</v>
      </c>
      <c r="C305" s="5">
        <v>45702</v>
      </c>
      <c r="D305" t="s">
        <v>219</v>
      </c>
      <c r="E305" t="s">
        <v>63</v>
      </c>
      <c r="F305" t="s">
        <v>215</v>
      </c>
      <c r="G305" s="6">
        <v>700</v>
      </c>
      <c r="H305" s="7" t="s">
        <v>17</v>
      </c>
      <c r="I305" s="7" t="s">
        <v>17</v>
      </c>
    </row>
    <row r="306" spans="1:9" hidden="1" x14ac:dyDescent="0.2">
      <c r="A306" t="s">
        <v>18</v>
      </c>
      <c r="B306" s="4" t="s">
        <v>218</v>
      </c>
      <c r="C306" s="5">
        <v>45702</v>
      </c>
      <c r="D306" t="s">
        <v>219</v>
      </c>
      <c r="E306" t="s">
        <v>107</v>
      </c>
      <c r="F306" t="s">
        <v>16</v>
      </c>
      <c r="G306" s="6">
        <v>700</v>
      </c>
      <c r="H306" s="7" t="s">
        <v>17</v>
      </c>
      <c r="I306" s="7" t="s">
        <v>17</v>
      </c>
    </row>
    <row r="307" spans="1:9" hidden="1" x14ac:dyDescent="0.2">
      <c r="A307" t="s">
        <v>8</v>
      </c>
      <c r="B307" s="4" t="s">
        <v>218</v>
      </c>
      <c r="C307" s="5">
        <v>45702</v>
      </c>
      <c r="D307" t="s">
        <v>219</v>
      </c>
      <c r="E307" t="s">
        <v>107</v>
      </c>
      <c r="F307" t="s">
        <v>215</v>
      </c>
      <c r="G307" s="6">
        <v>700</v>
      </c>
      <c r="H307" s="7" t="s">
        <v>17</v>
      </c>
      <c r="I307" s="7" t="s">
        <v>17</v>
      </c>
    </row>
    <row r="308" spans="1:9" hidden="1" x14ac:dyDescent="0.2">
      <c r="A308" t="s">
        <v>18</v>
      </c>
      <c r="B308" s="4" t="s">
        <v>218</v>
      </c>
      <c r="C308" s="5">
        <v>45702</v>
      </c>
      <c r="D308" t="s">
        <v>220</v>
      </c>
      <c r="E308" t="s">
        <v>44</v>
      </c>
      <c r="F308" t="s">
        <v>16</v>
      </c>
      <c r="G308" s="6">
        <v>300</v>
      </c>
      <c r="H308" s="7">
        <v>1.143</v>
      </c>
      <c r="I308" s="7">
        <v>342.97</v>
      </c>
    </row>
    <row r="309" spans="1:9" hidden="1" x14ac:dyDescent="0.2">
      <c r="A309" t="s">
        <v>18</v>
      </c>
      <c r="B309" s="4" t="s">
        <v>218</v>
      </c>
      <c r="C309" s="5">
        <v>45702</v>
      </c>
      <c r="D309" t="s">
        <v>219</v>
      </c>
      <c r="E309" t="s">
        <v>44</v>
      </c>
      <c r="F309" t="s">
        <v>16</v>
      </c>
      <c r="G309" s="6">
        <v>300</v>
      </c>
      <c r="H309" s="7" t="s">
        <v>17</v>
      </c>
      <c r="I309" s="7" t="s">
        <v>17</v>
      </c>
    </row>
    <row r="310" spans="1:9" hidden="1" x14ac:dyDescent="0.2">
      <c r="A310" t="s">
        <v>8</v>
      </c>
      <c r="B310" s="4" t="s">
        <v>218</v>
      </c>
      <c r="C310" s="5">
        <v>45702</v>
      </c>
      <c r="D310" t="s">
        <v>220</v>
      </c>
      <c r="E310" t="s">
        <v>44</v>
      </c>
      <c r="F310" t="s">
        <v>215</v>
      </c>
      <c r="G310" s="6">
        <v>300</v>
      </c>
      <c r="H310" s="7">
        <v>1.143</v>
      </c>
      <c r="I310" s="7">
        <v>342.97</v>
      </c>
    </row>
    <row r="311" spans="1:9" hidden="1" x14ac:dyDescent="0.2">
      <c r="A311" t="s">
        <v>8</v>
      </c>
      <c r="B311" s="4" t="s">
        <v>218</v>
      </c>
      <c r="C311" s="5">
        <v>45702</v>
      </c>
      <c r="D311" t="s">
        <v>219</v>
      </c>
      <c r="E311" t="s">
        <v>44</v>
      </c>
      <c r="F311" t="s">
        <v>215</v>
      </c>
      <c r="G311" s="6">
        <v>300</v>
      </c>
      <c r="H311" s="7" t="s">
        <v>17</v>
      </c>
      <c r="I311" s="7" t="s">
        <v>17</v>
      </c>
    </row>
    <row r="312" spans="1:9" hidden="1" x14ac:dyDescent="0.2">
      <c r="A312" t="s">
        <v>18</v>
      </c>
      <c r="B312" s="4" t="s">
        <v>218</v>
      </c>
      <c r="C312" s="5">
        <v>45702</v>
      </c>
      <c r="D312" t="s">
        <v>221</v>
      </c>
      <c r="E312" t="s">
        <v>152</v>
      </c>
      <c r="F312" t="s">
        <v>16</v>
      </c>
      <c r="G312" s="6">
        <v>500</v>
      </c>
      <c r="H312" s="7">
        <v>5.1999999999999998E-2</v>
      </c>
      <c r="I312" s="7">
        <v>22.11</v>
      </c>
    </row>
    <row r="313" spans="1:9" hidden="1" x14ac:dyDescent="0.2">
      <c r="A313" t="s">
        <v>18</v>
      </c>
      <c r="B313" s="4" t="s">
        <v>218</v>
      </c>
      <c r="C313" s="5">
        <v>45702</v>
      </c>
      <c r="D313" t="s">
        <v>219</v>
      </c>
      <c r="E313" t="s">
        <v>152</v>
      </c>
      <c r="F313" t="s">
        <v>16</v>
      </c>
      <c r="G313" s="6">
        <v>500</v>
      </c>
      <c r="H313" s="7" t="s">
        <v>17</v>
      </c>
      <c r="I313" s="7" t="s">
        <v>17</v>
      </c>
    </row>
    <row r="314" spans="1:9" hidden="1" x14ac:dyDescent="0.2">
      <c r="A314" t="s">
        <v>8</v>
      </c>
      <c r="B314" s="4" t="s">
        <v>218</v>
      </c>
      <c r="C314" s="5">
        <v>45702</v>
      </c>
      <c r="D314" t="s">
        <v>219</v>
      </c>
      <c r="E314" t="s">
        <v>152</v>
      </c>
      <c r="F314" t="s">
        <v>215</v>
      </c>
      <c r="G314" s="6">
        <v>500</v>
      </c>
      <c r="H314" s="7" t="s">
        <v>17</v>
      </c>
      <c r="I314" s="7" t="s">
        <v>17</v>
      </c>
    </row>
    <row r="315" spans="1:9" hidden="1" x14ac:dyDescent="0.2">
      <c r="A315" t="s">
        <v>8</v>
      </c>
      <c r="B315" s="4" t="s">
        <v>218</v>
      </c>
      <c r="C315" s="5">
        <v>45702</v>
      </c>
      <c r="D315" t="s">
        <v>221</v>
      </c>
      <c r="E315" t="s">
        <v>152</v>
      </c>
      <c r="F315" t="s">
        <v>215</v>
      </c>
      <c r="G315" s="6">
        <v>500</v>
      </c>
      <c r="H315" s="7">
        <v>5.1999999999999998E-2</v>
      </c>
      <c r="I315" s="7">
        <v>22.11</v>
      </c>
    </row>
    <row r="316" spans="1:9" hidden="1" x14ac:dyDescent="0.2">
      <c r="A316" t="s">
        <v>18</v>
      </c>
      <c r="B316" s="4" t="s">
        <v>218</v>
      </c>
      <c r="C316" s="5">
        <v>45702</v>
      </c>
      <c r="D316" t="s">
        <v>219</v>
      </c>
      <c r="E316" t="s">
        <v>57</v>
      </c>
      <c r="F316" t="s">
        <v>16</v>
      </c>
      <c r="G316" s="6">
        <v>830</v>
      </c>
      <c r="H316" s="7" t="s">
        <v>17</v>
      </c>
      <c r="I316" s="7" t="s">
        <v>17</v>
      </c>
    </row>
    <row r="317" spans="1:9" hidden="1" x14ac:dyDescent="0.2">
      <c r="A317" t="s">
        <v>8</v>
      </c>
      <c r="B317" s="4" t="s">
        <v>218</v>
      </c>
      <c r="C317" s="5">
        <v>45702</v>
      </c>
      <c r="D317" t="s">
        <v>219</v>
      </c>
      <c r="E317" t="s">
        <v>57</v>
      </c>
      <c r="F317" t="s">
        <v>215</v>
      </c>
      <c r="G317" s="6">
        <v>830</v>
      </c>
      <c r="H317" s="7" t="s">
        <v>17</v>
      </c>
      <c r="I317" s="7" t="s">
        <v>17</v>
      </c>
    </row>
    <row r="318" spans="1:9" hidden="1" x14ac:dyDescent="0.2">
      <c r="A318" t="s">
        <v>18</v>
      </c>
      <c r="B318" s="4" t="s">
        <v>218</v>
      </c>
      <c r="C318" s="5">
        <v>45702</v>
      </c>
      <c r="D318" t="s">
        <v>219</v>
      </c>
      <c r="E318" t="s">
        <v>50</v>
      </c>
      <c r="F318" t="s">
        <v>16</v>
      </c>
      <c r="G318" s="6">
        <v>99</v>
      </c>
      <c r="H318" s="7" t="s">
        <v>17</v>
      </c>
      <c r="I318" s="7" t="s">
        <v>17</v>
      </c>
    </row>
    <row r="319" spans="1:9" hidden="1" x14ac:dyDescent="0.2">
      <c r="A319" t="s">
        <v>18</v>
      </c>
      <c r="B319" s="4" t="s">
        <v>218</v>
      </c>
      <c r="C319" s="5">
        <v>45702</v>
      </c>
      <c r="D319" t="s">
        <v>41</v>
      </c>
      <c r="E319" t="s">
        <v>50</v>
      </c>
      <c r="F319" t="s">
        <v>215</v>
      </c>
      <c r="G319" s="6">
        <v>99</v>
      </c>
      <c r="H319" s="7">
        <v>1.1000000000000001</v>
      </c>
      <c r="I319" s="7">
        <v>108.9</v>
      </c>
    </row>
    <row r="320" spans="1:9" hidden="1" x14ac:dyDescent="0.2">
      <c r="A320" t="s">
        <v>8</v>
      </c>
      <c r="B320" s="4" t="s">
        <v>218</v>
      </c>
      <c r="C320" s="5">
        <v>45702</v>
      </c>
      <c r="D320" t="s">
        <v>219</v>
      </c>
      <c r="E320" t="s">
        <v>50</v>
      </c>
      <c r="F320" t="s">
        <v>215</v>
      </c>
      <c r="G320" s="6">
        <v>99</v>
      </c>
      <c r="H320" s="7" t="s">
        <v>17</v>
      </c>
      <c r="I320" s="7" t="s">
        <v>17</v>
      </c>
    </row>
    <row r="321" spans="1:9" hidden="1" x14ac:dyDescent="0.2">
      <c r="A321" t="s">
        <v>18</v>
      </c>
      <c r="B321" s="4" t="s">
        <v>218</v>
      </c>
      <c r="C321" s="5">
        <v>45702</v>
      </c>
      <c r="D321" t="s">
        <v>219</v>
      </c>
      <c r="E321" t="s">
        <v>222</v>
      </c>
      <c r="F321" t="s">
        <v>16</v>
      </c>
      <c r="G321" s="6">
        <v>129</v>
      </c>
      <c r="H321" s="7" t="s">
        <v>17</v>
      </c>
      <c r="I321" s="7" t="s">
        <v>17</v>
      </c>
    </row>
    <row r="322" spans="1:9" hidden="1" x14ac:dyDescent="0.2">
      <c r="A322" t="s">
        <v>18</v>
      </c>
      <c r="B322" s="4" t="s">
        <v>218</v>
      </c>
      <c r="C322" s="5">
        <v>45702</v>
      </c>
      <c r="D322" t="s">
        <v>41</v>
      </c>
      <c r="E322" t="s">
        <v>222</v>
      </c>
      <c r="F322" t="s">
        <v>215</v>
      </c>
      <c r="G322" s="6">
        <v>129</v>
      </c>
      <c r="H322" s="7">
        <v>0.9</v>
      </c>
      <c r="I322" s="7">
        <v>116.1</v>
      </c>
    </row>
    <row r="323" spans="1:9" hidden="1" x14ac:dyDescent="0.2">
      <c r="A323" t="s">
        <v>8</v>
      </c>
      <c r="B323" s="4" t="s">
        <v>218</v>
      </c>
      <c r="C323" s="5">
        <v>45702</v>
      </c>
      <c r="D323" t="s">
        <v>219</v>
      </c>
      <c r="E323" t="s">
        <v>222</v>
      </c>
      <c r="F323" t="s">
        <v>215</v>
      </c>
      <c r="G323" s="6">
        <v>129</v>
      </c>
      <c r="H323" s="7" t="s">
        <v>17</v>
      </c>
      <c r="I323" s="7" t="s">
        <v>17</v>
      </c>
    </row>
    <row r="324" spans="1:9" hidden="1" x14ac:dyDescent="0.2">
      <c r="A324" t="s">
        <v>18</v>
      </c>
      <c r="B324" s="4" t="s">
        <v>218</v>
      </c>
      <c r="C324" s="5">
        <v>45702</v>
      </c>
      <c r="D324" t="s">
        <v>221</v>
      </c>
      <c r="E324" t="s">
        <v>223</v>
      </c>
      <c r="F324" t="s">
        <v>16</v>
      </c>
      <c r="G324" s="6">
        <v>400</v>
      </c>
      <c r="H324" s="7">
        <v>9.7000000000000003E-2</v>
      </c>
      <c r="I324" s="7">
        <v>33.06</v>
      </c>
    </row>
    <row r="325" spans="1:9" hidden="1" x14ac:dyDescent="0.2">
      <c r="A325" t="s">
        <v>18</v>
      </c>
      <c r="B325" s="4" t="s">
        <v>218</v>
      </c>
      <c r="C325" s="5">
        <v>45702</v>
      </c>
      <c r="D325" t="s">
        <v>221</v>
      </c>
      <c r="E325" t="s">
        <v>223</v>
      </c>
      <c r="F325" t="s">
        <v>16</v>
      </c>
      <c r="G325" s="6">
        <v>400</v>
      </c>
      <c r="H325" s="7">
        <v>0.16900000000000001</v>
      </c>
      <c r="I325" s="7">
        <v>57.5</v>
      </c>
    </row>
    <row r="326" spans="1:9" hidden="1" x14ac:dyDescent="0.2">
      <c r="A326" t="s">
        <v>18</v>
      </c>
      <c r="B326" s="4" t="s">
        <v>218</v>
      </c>
      <c r="C326" s="5">
        <v>45702</v>
      </c>
      <c r="D326" t="s">
        <v>221</v>
      </c>
      <c r="E326" t="s">
        <v>223</v>
      </c>
      <c r="F326" t="s">
        <v>16</v>
      </c>
      <c r="G326" s="6">
        <v>400</v>
      </c>
      <c r="H326" s="7">
        <v>9.8000000000000004E-2</v>
      </c>
      <c r="I326" s="7">
        <v>33.21</v>
      </c>
    </row>
    <row r="327" spans="1:9" hidden="1" x14ac:dyDescent="0.2">
      <c r="A327" t="s">
        <v>18</v>
      </c>
      <c r="B327" s="4" t="s">
        <v>218</v>
      </c>
      <c r="C327" s="5">
        <v>45702</v>
      </c>
      <c r="D327" t="s">
        <v>220</v>
      </c>
      <c r="E327" t="s">
        <v>223</v>
      </c>
      <c r="F327" t="s">
        <v>16</v>
      </c>
      <c r="G327" s="6">
        <v>400</v>
      </c>
      <c r="H327" s="7">
        <v>0.122</v>
      </c>
      <c r="I327" s="7">
        <v>48.68</v>
      </c>
    </row>
    <row r="328" spans="1:9" hidden="1" x14ac:dyDescent="0.2">
      <c r="A328" t="s">
        <v>18</v>
      </c>
      <c r="B328" s="4" t="s">
        <v>218</v>
      </c>
      <c r="C328" s="5">
        <v>45702</v>
      </c>
      <c r="D328" t="s">
        <v>221</v>
      </c>
      <c r="E328" t="s">
        <v>223</v>
      </c>
      <c r="F328" t="s">
        <v>16</v>
      </c>
      <c r="G328" s="6">
        <v>400</v>
      </c>
      <c r="H328" s="7">
        <v>9.8000000000000004E-2</v>
      </c>
      <c r="I328" s="7">
        <v>33.21</v>
      </c>
    </row>
    <row r="329" spans="1:9" hidden="1" x14ac:dyDescent="0.2">
      <c r="A329" t="s">
        <v>18</v>
      </c>
      <c r="B329" s="4" t="s">
        <v>218</v>
      </c>
      <c r="C329" s="5">
        <v>45702</v>
      </c>
      <c r="D329" t="s">
        <v>221</v>
      </c>
      <c r="E329" t="s">
        <v>223</v>
      </c>
      <c r="F329" t="s">
        <v>16</v>
      </c>
      <c r="G329" s="6">
        <v>300</v>
      </c>
      <c r="H329" s="7">
        <v>9.7000000000000003E-2</v>
      </c>
      <c r="I329" s="7">
        <v>24.8</v>
      </c>
    </row>
    <row r="330" spans="1:9" hidden="1" x14ac:dyDescent="0.2">
      <c r="A330" t="s">
        <v>18</v>
      </c>
      <c r="B330" s="4" t="s">
        <v>218</v>
      </c>
      <c r="C330" s="5">
        <v>45702</v>
      </c>
      <c r="D330" t="s">
        <v>219</v>
      </c>
      <c r="E330" t="s">
        <v>223</v>
      </c>
      <c r="F330" t="s">
        <v>16</v>
      </c>
      <c r="G330" s="6">
        <v>400</v>
      </c>
      <c r="H330" s="7" t="s">
        <v>17</v>
      </c>
      <c r="I330" s="7" t="s">
        <v>17</v>
      </c>
    </row>
    <row r="331" spans="1:9" hidden="1" x14ac:dyDescent="0.2">
      <c r="A331" t="s">
        <v>18</v>
      </c>
      <c r="B331" s="4" t="s">
        <v>218</v>
      </c>
      <c r="C331" s="5">
        <v>45702</v>
      </c>
      <c r="D331" t="s">
        <v>221</v>
      </c>
      <c r="E331" t="s">
        <v>223</v>
      </c>
      <c r="F331" t="s">
        <v>16</v>
      </c>
      <c r="G331" s="6">
        <v>400</v>
      </c>
      <c r="H331" s="7">
        <v>9.7000000000000003E-2</v>
      </c>
      <c r="I331" s="7">
        <v>33.049999999999997</v>
      </c>
    </row>
    <row r="332" spans="1:9" hidden="1" x14ac:dyDescent="0.2">
      <c r="A332" t="s">
        <v>18</v>
      </c>
      <c r="B332" s="4" t="s">
        <v>218</v>
      </c>
      <c r="C332" s="5">
        <v>45702</v>
      </c>
      <c r="D332" t="s">
        <v>221</v>
      </c>
      <c r="E332" t="s">
        <v>223</v>
      </c>
      <c r="F332" t="s">
        <v>16</v>
      </c>
      <c r="G332" s="6">
        <v>400</v>
      </c>
      <c r="H332" s="7">
        <v>9.7000000000000003E-2</v>
      </c>
      <c r="I332" s="7">
        <v>33.1</v>
      </c>
    </row>
    <row r="333" spans="1:9" hidden="1" x14ac:dyDescent="0.2">
      <c r="A333" t="s">
        <v>18</v>
      </c>
      <c r="B333" s="4" t="s">
        <v>218</v>
      </c>
      <c r="C333" s="5">
        <v>45702</v>
      </c>
      <c r="D333" t="s">
        <v>221</v>
      </c>
      <c r="E333" t="s">
        <v>223</v>
      </c>
      <c r="F333" t="s">
        <v>16</v>
      </c>
      <c r="G333" s="6">
        <v>300</v>
      </c>
      <c r="H333" s="7">
        <v>9.7000000000000003E-2</v>
      </c>
      <c r="I333" s="7">
        <v>24.8</v>
      </c>
    </row>
    <row r="334" spans="1:9" hidden="1" x14ac:dyDescent="0.2">
      <c r="A334" t="s">
        <v>18</v>
      </c>
      <c r="B334" s="4" t="s">
        <v>218</v>
      </c>
      <c r="C334" s="5">
        <v>45702</v>
      </c>
      <c r="D334" t="s">
        <v>221</v>
      </c>
      <c r="E334" t="s">
        <v>223</v>
      </c>
      <c r="F334" t="s">
        <v>16</v>
      </c>
      <c r="G334" s="6">
        <v>400</v>
      </c>
      <c r="H334" s="7">
        <v>0.19500000000000001</v>
      </c>
      <c r="I334" s="7">
        <v>66.42</v>
      </c>
    </row>
    <row r="335" spans="1:9" hidden="1" x14ac:dyDescent="0.2">
      <c r="A335" t="s">
        <v>8</v>
      </c>
      <c r="B335" s="4" t="s">
        <v>218</v>
      </c>
      <c r="C335" s="5">
        <v>45702</v>
      </c>
      <c r="D335" t="s">
        <v>221</v>
      </c>
      <c r="E335" t="s">
        <v>223</v>
      </c>
      <c r="F335" t="s">
        <v>215</v>
      </c>
      <c r="G335" s="6">
        <v>400</v>
      </c>
      <c r="H335" s="7">
        <v>0.19500000000000001</v>
      </c>
      <c r="I335" s="7">
        <v>66.42</v>
      </c>
    </row>
    <row r="336" spans="1:9" hidden="1" x14ac:dyDescent="0.2">
      <c r="A336" t="s">
        <v>8</v>
      </c>
      <c r="B336" s="4" t="s">
        <v>218</v>
      </c>
      <c r="C336" s="5">
        <v>45702</v>
      </c>
      <c r="D336" t="s">
        <v>221</v>
      </c>
      <c r="E336" t="s">
        <v>223</v>
      </c>
      <c r="F336" t="s">
        <v>215</v>
      </c>
      <c r="G336" s="6">
        <v>300</v>
      </c>
      <c r="H336" s="7">
        <v>9.7000000000000003E-2</v>
      </c>
      <c r="I336" s="7">
        <v>24.8</v>
      </c>
    </row>
    <row r="337" spans="1:9" hidden="1" x14ac:dyDescent="0.2">
      <c r="A337" t="s">
        <v>8</v>
      </c>
      <c r="B337" s="4" t="s">
        <v>218</v>
      </c>
      <c r="C337" s="5">
        <v>45702</v>
      </c>
      <c r="D337" t="s">
        <v>221</v>
      </c>
      <c r="E337" t="s">
        <v>223</v>
      </c>
      <c r="F337" t="s">
        <v>215</v>
      </c>
      <c r="G337" s="6">
        <v>300</v>
      </c>
      <c r="H337" s="7">
        <v>9.7000000000000003E-2</v>
      </c>
      <c r="I337" s="7">
        <v>24.8</v>
      </c>
    </row>
    <row r="338" spans="1:9" hidden="1" x14ac:dyDescent="0.2">
      <c r="A338" t="s">
        <v>8</v>
      </c>
      <c r="B338" s="4" t="s">
        <v>218</v>
      </c>
      <c r="C338" s="5">
        <v>45702</v>
      </c>
      <c r="D338" t="s">
        <v>219</v>
      </c>
      <c r="E338" t="s">
        <v>223</v>
      </c>
      <c r="F338" t="s">
        <v>215</v>
      </c>
      <c r="G338" s="6">
        <v>400</v>
      </c>
      <c r="H338" s="7" t="s">
        <v>17</v>
      </c>
      <c r="I338" s="7" t="s">
        <v>17</v>
      </c>
    </row>
    <row r="339" spans="1:9" hidden="1" x14ac:dyDescent="0.2">
      <c r="A339" t="s">
        <v>8</v>
      </c>
      <c r="B339" s="4" t="s">
        <v>218</v>
      </c>
      <c r="C339" s="5">
        <v>45702</v>
      </c>
      <c r="D339" t="s">
        <v>220</v>
      </c>
      <c r="E339" t="s">
        <v>223</v>
      </c>
      <c r="F339" t="s">
        <v>215</v>
      </c>
      <c r="G339" s="6">
        <v>400</v>
      </c>
      <c r="H339" s="7">
        <v>0.122</v>
      </c>
      <c r="I339" s="7">
        <v>48.68</v>
      </c>
    </row>
    <row r="340" spans="1:9" hidden="1" x14ac:dyDescent="0.2">
      <c r="A340" t="s">
        <v>8</v>
      </c>
      <c r="B340" s="4" t="s">
        <v>218</v>
      </c>
      <c r="C340" s="5">
        <v>45702</v>
      </c>
      <c r="D340" t="s">
        <v>221</v>
      </c>
      <c r="E340" t="s">
        <v>223</v>
      </c>
      <c r="F340" t="s">
        <v>215</v>
      </c>
      <c r="G340" s="6">
        <v>400</v>
      </c>
      <c r="H340" s="7">
        <v>9.8000000000000004E-2</v>
      </c>
      <c r="I340" s="7">
        <v>33.21</v>
      </c>
    </row>
    <row r="341" spans="1:9" hidden="1" x14ac:dyDescent="0.2">
      <c r="A341" t="s">
        <v>8</v>
      </c>
      <c r="B341" s="4" t="s">
        <v>218</v>
      </c>
      <c r="C341" s="5">
        <v>45702</v>
      </c>
      <c r="D341" t="s">
        <v>221</v>
      </c>
      <c r="E341" t="s">
        <v>223</v>
      </c>
      <c r="F341" t="s">
        <v>215</v>
      </c>
      <c r="G341" s="6">
        <v>400</v>
      </c>
      <c r="H341" s="7">
        <v>9.7000000000000003E-2</v>
      </c>
      <c r="I341" s="7">
        <v>33.049999999999997</v>
      </c>
    </row>
    <row r="342" spans="1:9" hidden="1" x14ac:dyDescent="0.2">
      <c r="A342" t="s">
        <v>8</v>
      </c>
      <c r="B342" s="4" t="s">
        <v>218</v>
      </c>
      <c r="C342" s="5">
        <v>45702</v>
      </c>
      <c r="D342" t="s">
        <v>221</v>
      </c>
      <c r="E342" t="s">
        <v>223</v>
      </c>
      <c r="F342" t="s">
        <v>215</v>
      </c>
      <c r="G342" s="6">
        <v>400</v>
      </c>
      <c r="H342" s="7">
        <v>9.8000000000000004E-2</v>
      </c>
      <c r="I342" s="7">
        <v>33.21</v>
      </c>
    </row>
    <row r="343" spans="1:9" hidden="1" x14ac:dyDescent="0.2">
      <c r="A343" t="s">
        <v>8</v>
      </c>
      <c r="B343" s="4" t="s">
        <v>218</v>
      </c>
      <c r="C343" s="5">
        <v>45702</v>
      </c>
      <c r="D343" t="s">
        <v>221</v>
      </c>
      <c r="E343" t="s">
        <v>223</v>
      </c>
      <c r="F343" t="s">
        <v>215</v>
      </c>
      <c r="G343" s="6">
        <v>400</v>
      </c>
      <c r="H343" s="7">
        <v>0.16900000000000001</v>
      </c>
      <c r="I343" s="7">
        <v>57.5</v>
      </c>
    </row>
    <row r="344" spans="1:9" hidden="1" x14ac:dyDescent="0.2">
      <c r="A344" t="s">
        <v>8</v>
      </c>
      <c r="B344" s="4" t="s">
        <v>218</v>
      </c>
      <c r="C344" s="5">
        <v>45702</v>
      </c>
      <c r="D344" t="s">
        <v>221</v>
      </c>
      <c r="E344" t="s">
        <v>223</v>
      </c>
      <c r="F344" t="s">
        <v>215</v>
      </c>
      <c r="G344" s="6">
        <v>400</v>
      </c>
      <c r="H344" s="7">
        <v>9.7000000000000003E-2</v>
      </c>
      <c r="I344" s="7">
        <v>33.06</v>
      </c>
    </row>
    <row r="345" spans="1:9" hidden="1" x14ac:dyDescent="0.2">
      <c r="A345" t="s">
        <v>8</v>
      </c>
      <c r="B345" s="4" t="s">
        <v>218</v>
      </c>
      <c r="C345" s="5">
        <v>45702</v>
      </c>
      <c r="D345" t="s">
        <v>221</v>
      </c>
      <c r="E345" t="s">
        <v>223</v>
      </c>
      <c r="F345" t="s">
        <v>215</v>
      </c>
      <c r="G345" s="6">
        <v>400</v>
      </c>
      <c r="H345" s="7">
        <v>9.7000000000000003E-2</v>
      </c>
      <c r="I345" s="7">
        <v>33.1</v>
      </c>
    </row>
    <row r="346" spans="1:9" hidden="1" x14ac:dyDescent="0.2">
      <c r="A346" t="s">
        <v>18</v>
      </c>
      <c r="B346" s="4" t="s">
        <v>218</v>
      </c>
      <c r="C346" s="5">
        <v>45702</v>
      </c>
      <c r="D346" t="s">
        <v>219</v>
      </c>
      <c r="E346" t="s">
        <v>133</v>
      </c>
      <c r="F346" t="s">
        <v>16</v>
      </c>
      <c r="G346" s="6">
        <v>187</v>
      </c>
      <c r="H346" s="7" t="s">
        <v>17</v>
      </c>
      <c r="I346" s="7" t="s">
        <v>17</v>
      </c>
    </row>
    <row r="347" spans="1:9" hidden="1" x14ac:dyDescent="0.2">
      <c r="A347" t="s">
        <v>18</v>
      </c>
      <c r="B347" s="4" t="s">
        <v>218</v>
      </c>
      <c r="C347" s="5">
        <v>45702</v>
      </c>
      <c r="D347" t="s">
        <v>224</v>
      </c>
      <c r="E347" t="s">
        <v>133</v>
      </c>
      <c r="F347" t="s">
        <v>16</v>
      </c>
      <c r="G347" s="6">
        <v>187</v>
      </c>
      <c r="H347" s="7">
        <v>0.75</v>
      </c>
      <c r="I347" s="7">
        <v>140.25</v>
      </c>
    </row>
    <row r="348" spans="1:9" hidden="1" x14ac:dyDescent="0.2">
      <c r="A348" t="s">
        <v>8</v>
      </c>
      <c r="B348" s="4" t="s">
        <v>218</v>
      </c>
      <c r="C348" s="5">
        <v>45702</v>
      </c>
      <c r="D348" t="s">
        <v>224</v>
      </c>
      <c r="E348" t="s">
        <v>133</v>
      </c>
      <c r="F348" t="s">
        <v>215</v>
      </c>
      <c r="G348" s="6">
        <v>187</v>
      </c>
      <c r="H348" s="7">
        <v>0.75</v>
      </c>
      <c r="I348" s="7">
        <v>140.25</v>
      </c>
    </row>
    <row r="349" spans="1:9" hidden="1" x14ac:dyDescent="0.2">
      <c r="A349" t="s">
        <v>8</v>
      </c>
      <c r="B349" s="4" t="s">
        <v>218</v>
      </c>
      <c r="C349" s="5">
        <v>45702</v>
      </c>
      <c r="D349" t="s">
        <v>219</v>
      </c>
      <c r="E349" t="s">
        <v>133</v>
      </c>
      <c r="F349" t="s">
        <v>215</v>
      </c>
      <c r="G349" s="6">
        <v>187</v>
      </c>
      <c r="H349" s="7" t="s">
        <v>17</v>
      </c>
      <c r="I349" s="7" t="s">
        <v>17</v>
      </c>
    </row>
    <row r="350" spans="1:9" hidden="1" x14ac:dyDescent="0.2">
      <c r="A350" t="s">
        <v>18</v>
      </c>
      <c r="B350" s="4" t="s">
        <v>218</v>
      </c>
      <c r="C350" s="5">
        <v>45702</v>
      </c>
      <c r="D350" t="s">
        <v>221</v>
      </c>
      <c r="E350" t="s">
        <v>123</v>
      </c>
      <c r="F350" t="s">
        <v>16</v>
      </c>
      <c r="G350" s="6">
        <v>200</v>
      </c>
      <c r="H350" s="7">
        <v>1.7999999999999999E-2</v>
      </c>
      <c r="I350" s="7">
        <v>3.01</v>
      </c>
    </row>
    <row r="351" spans="1:9" hidden="1" x14ac:dyDescent="0.2">
      <c r="A351" t="s">
        <v>18</v>
      </c>
      <c r="B351" s="4" t="s">
        <v>218</v>
      </c>
      <c r="C351" s="5">
        <v>45702</v>
      </c>
      <c r="D351" t="s">
        <v>221</v>
      </c>
      <c r="E351" t="s">
        <v>123</v>
      </c>
      <c r="F351" t="s">
        <v>16</v>
      </c>
      <c r="G351" s="6">
        <v>200</v>
      </c>
      <c r="H351" s="7">
        <v>0.27300000000000002</v>
      </c>
      <c r="I351" s="7">
        <v>46.41</v>
      </c>
    </row>
    <row r="352" spans="1:9" hidden="1" x14ac:dyDescent="0.2">
      <c r="A352" t="s">
        <v>18</v>
      </c>
      <c r="B352" s="4" t="s">
        <v>218</v>
      </c>
      <c r="C352" s="5">
        <v>45702</v>
      </c>
      <c r="D352" t="s">
        <v>221</v>
      </c>
      <c r="E352" t="s">
        <v>123</v>
      </c>
      <c r="F352" t="s">
        <v>16</v>
      </c>
      <c r="G352" s="6">
        <v>200</v>
      </c>
      <c r="H352" s="7">
        <v>0.311</v>
      </c>
      <c r="I352" s="7">
        <v>52.8</v>
      </c>
    </row>
    <row r="353" spans="1:9" hidden="1" x14ac:dyDescent="0.2">
      <c r="A353" t="s">
        <v>18</v>
      </c>
      <c r="B353" s="4" t="s">
        <v>218</v>
      </c>
      <c r="C353" s="5">
        <v>45702</v>
      </c>
      <c r="D353" t="s">
        <v>219</v>
      </c>
      <c r="E353" t="s">
        <v>123</v>
      </c>
      <c r="F353" t="s">
        <v>16</v>
      </c>
      <c r="G353" s="6">
        <v>200</v>
      </c>
      <c r="H353" s="7" t="s">
        <v>17</v>
      </c>
      <c r="I353" s="7" t="s">
        <v>17</v>
      </c>
    </row>
    <row r="354" spans="1:9" hidden="1" x14ac:dyDescent="0.2">
      <c r="A354" t="s">
        <v>8</v>
      </c>
      <c r="B354" s="4" t="s">
        <v>218</v>
      </c>
      <c r="C354" s="5">
        <v>45702</v>
      </c>
      <c r="D354" t="s">
        <v>219</v>
      </c>
      <c r="E354" t="s">
        <v>123</v>
      </c>
      <c r="F354" t="s">
        <v>215</v>
      </c>
      <c r="G354" s="6">
        <v>200</v>
      </c>
      <c r="H354" s="7" t="s">
        <v>17</v>
      </c>
      <c r="I354" s="7" t="s">
        <v>17</v>
      </c>
    </row>
    <row r="355" spans="1:9" hidden="1" x14ac:dyDescent="0.2">
      <c r="A355" t="s">
        <v>8</v>
      </c>
      <c r="B355" s="4" t="s">
        <v>218</v>
      </c>
      <c r="C355" s="5">
        <v>45702</v>
      </c>
      <c r="D355" t="s">
        <v>221</v>
      </c>
      <c r="E355" t="s">
        <v>123</v>
      </c>
      <c r="F355" t="s">
        <v>215</v>
      </c>
      <c r="G355" s="6">
        <v>200</v>
      </c>
      <c r="H355" s="7">
        <v>0.311</v>
      </c>
      <c r="I355" s="7">
        <v>52.8</v>
      </c>
    </row>
    <row r="356" spans="1:9" hidden="1" x14ac:dyDescent="0.2">
      <c r="A356" t="s">
        <v>8</v>
      </c>
      <c r="B356" s="4" t="s">
        <v>218</v>
      </c>
      <c r="C356" s="5">
        <v>45702</v>
      </c>
      <c r="D356" t="s">
        <v>221</v>
      </c>
      <c r="E356" t="s">
        <v>123</v>
      </c>
      <c r="F356" t="s">
        <v>215</v>
      </c>
      <c r="G356" s="6">
        <v>200</v>
      </c>
      <c r="H356" s="7">
        <v>0.27300000000000002</v>
      </c>
      <c r="I356" s="7">
        <v>46.41</v>
      </c>
    </row>
    <row r="357" spans="1:9" hidden="1" x14ac:dyDescent="0.2">
      <c r="A357" t="s">
        <v>8</v>
      </c>
      <c r="B357" s="4" t="s">
        <v>218</v>
      </c>
      <c r="C357" s="5">
        <v>45702</v>
      </c>
      <c r="D357" t="s">
        <v>221</v>
      </c>
      <c r="E357" t="s">
        <v>123</v>
      </c>
      <c r="F357" t="s">
        <v>215</v>
      </c>
      <c r="G357" s="6">
        <v>200</v>
      </c>
      <c r="H357" s="7">
        <v>1.7999999999999999E-2</v>
      </c>
      <c r="I357" s="7">
        <v>3.01</v>
      </c>
    </row>
    <row r="358" spans="1:9" hidden="1" x14ac:dyDescent="0.2">
      <c r="A358" t="s">
        <v>18</v>
      </c>
      <c r="B358" s="4" t="s">
        <v>218</v>
      </c>
      <c r="C358" s="5">
        <v>45702</v>
      </c>
      <c r="D358" t="s">
        <v>221</v>
      </c>
      <c r="E358" t="s">
        <v>36</v>
      </c>
      <c r="F358" t="s">
        <v>16</v>
      </c>
      <c r="G358" s="6">
        <v>300</v>
      </c>
      <c r="H358" s="7">
        <v>0.191</v>
      </c>
      <c r="I358" s="7">
        <v>48.62</v>
      </c>
    </row>
    <row r="359" spans="1:9" hidden="1" x14ac:dyDescent="0.2">
      <c r="A359" t="s">
        <v>18</v>
      </c>
      <c r="B359" s="4" t="s">
        <v>218</v>
      </c>
      <c r="C359" s="5">
        <v>45702</v>
      </c>
      <c r="D359" t="s">
        <v>219</v>
      </c>
      <c r="E359" t="s">
        <v>36</v>
      </c>
      <c r="F359" t="s">
        <v>16</v>
      </c>
      <c r="G359" s="6">
        <v>300</v>
      </c>
      <c r="H359" s="7" t="s">
        <v>17</v>
      </c>
      <c r="I359" s="7" t="s">
        <v>17</v>
      </c>
    </row>
    <row r="360" spans="1:9" hidden="1" x14ac:dyDescent="0.2">
      <c r="A360" t="s">
        <v>8</v>
      </c>
      <c r="B360" s="4" t="s">
        <v>218</v>
      </c>
      <c r="C360" s="5">
        <v>45702</v>
      </c>
      <c r="D360" t="s">
        <v>221</v>
      </c>
      <c r="E360" t="s">
        <v>36</v>
      </c>
      <c r="F360" t="s">
        <v>215</v>
      </c>
      <c r="G360" s="6">
        <v>300</v>
      </c>
      <c r="H360" s="7">
        <v>0.191</v>
      </c>
      <c r="I360" s="7">
        <v>48.62</v>
      </c>
    </row>
    <row r="361" spans="1:9" hidden="1" x14ac:dyDescent="0.2">
      <c r="A361" t="s">
        <v>8</v>
      </c>
      <c r="B361" s="4" t="s">
        <v>218</v>
      </c>
      <c r="C361" s="5">
        <v>45702</v>
      </c>
      <c r="D361" t="s">
        <v>219</v>
      </c>
      <c r="E361" t="s">
        <v>36</v>
      </c>
      <c r="F361" t="s">
        <v>215</v>
      </c>
      <c r="G361" s="6">
        <v>300</v>
      </c>
      <c r="H361" s="7" t="s">
        <v>17</v>
      </c>
      <c r="I361" s="7" t="s">
        <v>17</v>
      </c>
    </row>
    <row r="362" spans="1:9" hidden="1" x14ac:dyDescent="0.2">
      <c r="A362" t="s">
        <v>18</v>
      </c>
      <c r="B362" s="4" t="s">
        <v>218</v>
      </c>
      <c r="C362" s="5">
        <v>45702</v>
      </c>
      <c r="D362" t="s">
        <v>219</v>
      </c>
      <c r="E362" t="s">
        <v>186</v>
      </c>
      <c r="F362" t="s">
        <v>16</v>
      </c>
      <c r="G362" s="6">
        <v>153</v>
      </c>
      <c r="H362" s="7" t="s">
        <v>17</v>
      </c>
      <c r="I362" s="7" t="s">
        <v>17</v>
      </c>
    </row>
    <row r="363" spans="1:9" hidden="1" x14ac:dyDescent="0.2">
      <c r="A363" t="s">
        <v>8</v>
      </c>
      <c r="B363" s="4" t="s">
        <v>218</v>
      </c>
      <c r="C363" s="5">
        <v>45702</v>
      </c>
      <c r="D363" t="s">
        <v>219</v>
      </c>
      <c r="E363" t="s">
        <v>186</v>
      </c>
      <c r="F363" t="s">
        <v>215</v>
      </c>
      <c r="G363" s="6">
        <v>153</v>
      </c>
      <c r="H363" s="7" t="s">
        <v>17</v>
      </c>
      <c r="I363" s="7" t="s">
        <v>17</v>
      </c>
    </row>
    <row r="364" spans="1:9" hidden="1" x14ac:dyDescent="0.2">
      <c r="A364" t="s">
        <v>18</v>
      </c>
      <c r="B364" s="4" t="s">
        <v>218</v>
      </c>
      <c r="C364" s="5">
        <v>45702</v>
      </c>
      <c r="D364" t="s">
        <v>41</v>
      </c>
      <c r="E364" t="s">
        <v>186</v>
      </c>
      <c r="F364" t="s">
        <v>215</v>
      </c>
      <c r="G364" s="6">
        <v>153</v>
      </c>
      <c r="H364" s="7">
        <v>0.83</v>
      </c>
      <c r="I364" s="7">
        <v>126.99</v>
      </c>
    </row>
    <row r="365" spans="1:9" hidden="1" x14ac:dyDescent="0.2">
      <c r="A365" t="s">
        <v>18</v>
      </c>
      <c r="B365" s="4" t="s">
        <v>218</v>
      </c>
      <c r="C365" s="5">
        <v>45702</v>
      </c>
      <c r="D365" t="s">
        <v>219</v>
      </c>
      <c r="E365" t="s">
        <v>114</v>
      </c>
      <c r="F365" t="s">
        <v>16</v>
      </c>
      <c r="G365" s="6">
        <v>188</v>
      </c>
      <c r="H365" s="7" t="s">
        <v>17</v>
      </c>
      <c r="I365" s="7" t="s">
        <v>17</v>
      </c>
    </row>
    <row r="366" spans="1:9" hidden="1" x14ac:dyDescent="0.2">
      <c r="A366" t="s">
        <v>8</v>
      </c>
      <c r="B366" s="4" t="s">
        <v>218</v>
      </c>
      <c r="C366" s="5">
        <v>45702</v>
      </c>
      <c r="D366" t="s">
        <v>219</v>
      </c>
      <c r="E366" t="s">
        <v>114</v>
      </c>
      <c r="F366" t="s">
        <v>215</v>
      </c>
      <c r="G366" s="6">
        <v>188</v>
      </c>
      <c r="H366" s="7" t="s">
        <v>17</v>
      </c>
      <c r="I366" s="7" t="s">
        <v>17</v>
      </c>
    </row>
    <row r="367" spans="1:9" hidden="1" x14ac:dyDescent="0.2">
      <c r="A367" t="s">
        <v>18</v>
      </c>
      <c r="B367" s="4" t="s">
        <v>218</v>
      </c>
      <c r="C367" s="5">
        <v>45702</v>
      </c>
      <c r="D367" t="s">
        <v>219</v>
      </c>
      <c r="E367" t="s">
        <v>172</v>
      </c>
      <c r="F367" t="s">
        <v>16</v>
      </c>
      <c r="G367" s="6">
        <v>110</v>
      </c>
      <c r="H367" s="7" t="s">
        <v>17</v>
      </c>
      <c r="I367" s="7" t="s">
        <v>17</v>
      </c>
    </row>
    <row r="368" spans="1:9" hidden="1" x14ac:dyDescent="0.2">
      <c r="A368" t="s">
        <v>8</v>
      </c>
      <c r="B368" s="4" t="s">
        <v>218</v>
      </c>
      <c r="C368" s="5">
        <v>45702</v>
      </c>
      <c r="D368" t="s">
        <v>219</v>
      </c>
      <c r="E368" t="s">
        <v>172</v>
      </c>
      <c r="F368" t="s">
        <v>215</v>
      </c>
      <c r="G368" s="6">
        <v>110</v>
      </c>
      <c r="H368" s="7" t="s">
        <v>17</v>
      </c>
      <c r="I368" s="7" t="s">
        <v>17</v>
      </c>
    </row>
    <row r="369" spans="1:9" hidden="1" x14ac:dyDescent="0.2">
      <c r="A369" t="s">
        <v>18</v>
      </c>
      <c r="B369" s="4" t="s">
        <v>218</v>
      </c>
      <c r="C369" s="5">
        <v>45702</v>
      </c>
      <c r="D369" t="s">
        <v>219</v>
      </c>
      <c r="E369" t="s">
        <v>154</v>
      </c>
      <c r="F369" t="s">
        <v>16</v>
      </c>
      <c r="G369" s="6">
        <v>500</v>
      </c>
      <c r="H369" s="7" t="s">
        <v>17</v>
      </c>
      <c r="I369" s="7" t="s">
        <v>17</v>
      </c>
    </row>
    <row r="370" spans="1:9" hidden="1" x14ac:dyDescent="0.2">
      <c r="A370" t="s">
        <v>18</v>
      </c>
      <c r="B370" s="4" t="s">
        <v>218</v>
      </c>
      <c r="C370" s="5">
        <v>45702</v>
      </c>
      <c r="D370" t="s">
        <v>220</v>
      </c>
      <c r="E370" t="s">
        <v>154</v>
      </c>
      <c r="F370" t="s">
        <v>16</v>
      </c>
      <c r="G370" s="6">
        <v>500</v>
      </c>
      <c r="H370" s="7">
        <v>0.65400000000000003</v>
      </c>
      <c r="I370" s="7">
        <v>326.77999999999997</v>
      </c>
    </row>
    <row r="371" spans="1:9" hidden="1" x14ac:dyDescent="0.2">
      <c r="A371" t="s">
        <v>18</v>
      </c>
      <c r="B371" s="4" t="s">
        <v>218</v>
      </c>
      <c r="C371" s="5">
        <v>45702</v>
      </c>
      <c r="D371" t="s">
        <v>221</v>
      </c>
      <c r="E371" t="s">
        <v>154</v>
      </c>
      <c r="F371" t="s">
        <v>16</v>
      </c>
      <c r="G371" s="6">
        <v>500</v>
      </c>
      <c r="H371" s="7">
        <v>1.0999999999999999E-2</v>
      </c>
      <c r="I371" s="7">
        <v>4.4800000000000004</v>
      </c>
    </row>
    <row r="372" spans="1:9" hidden="1" x14ac:dyDescent="0.2">
      <c r="A372" t="s">
        <v>18</v>
      </c>
      <c r="B372" s="4" t="s">
        <v>218</v>
      </c>
      <c r="C372" s="5">
        <v>45702</v>
      </c>
      <c r="D372" t="s">
        <v>221</v>
      </c>
      <c r="E372" t="s">
        <v>154</v>
      </c>
      <c r="F372" t="s">
        <v>16</v>
      </c>
      <c r="G372" s="6">
        <v>500</v>
      </c>
      <c r="H372" s="7">
        <v>0.66400000000000003</v>
      </c>
      <c r="I372" s="7">
        <v>282.25</v>
      </c>
    </row>
    <row r="373" spans="1:9" hidden="1" x14ac:dyDescent="0.2">
      <c r="A373" t="s">
        <v>8</v>
      </c>
      <c r="B373" s="4" t="s">
        <v>218</v>
      </c>
      <c r="C373" s="5">
        <v>45702</v>
      </c>
      <c r="D373" t="s">
        <v>221</v>
      </c>
      <c r="E373" t="s">
        <v>154</v>
      </c>
      <c r="F373" t="s">
        <v>215</v>
      </c>
      <c r="G373" s="6">
        <v>500</v>
      </c>
      <c r="H373" s="7">
        <v>0.66400000000000003</v>
      </c>
      <c r="I373" s="7">
        <v>282.25</v>
      </c>
    </row>
    <row r="374" spans="1:9" hidden="1" x14ac:dyDescent="0.2">
      <c r="A374" t="s">
        <v>8</v>
      </c>
      <c r="B374" s="4" t="s">
        <v>218</v>
      </c>
      <c r="C374" s="5">
        <v>45702</v>
      </c>
      <c r="D374" t="s">
        <v>219</v>
      </c>
      <c r="E374" t="s">
        <v>154</v>
      </c>
      <c r="F374" t="s">
        <v>215</v>
      </c>
      <c r="G374" s="6">
        <v>500</v>
      </c>
      <c r="H374" s="7" t="s">
        <v>17</v>
      </c>
      <c r="I374" s="7" t="s">
        <v>17</v>
      </c>
    </row>
    <row r="375" spans="1:9" hidden="1" x14ac:dyDescent="0.2">
      <c r="A375" t="s">
        <v>8</v>
      </c>
      <c r="B375" s="4" t="s">
        <v>218</v>
      </c>
      <c r="C375" s="5">
        <v>45702</v>
      </c>
      <c r="D375" t="s">
        <v>220</v>
      </c>
      <c r="E375" t="s">
        <v>154</v>
      </c>
      <c r="F375" t="s">
        <v>215</v>
      </c>
      <c r="G375" s="6">
        <v>500</v>
      </c>
      <c r="H375" s="7">
        <v>0.65400000000000003</v>
      </c>
      <c r="I375" s="7">
        <v>326.77999999999997</v>
      </c>
    </row>
    <row r="376" spans="1:9" hidden="1" x14ac:dyDescent="0.2">
      <c r="A376" t="s">
        <v>8</v>
      </c>
      <c r="B376" s="4" t="s">
        <v>218</v>
      </c>
      <c r="C376" s="5">
        <v>45702</v>
      </c>
      <c r="D376" t="s">
        <v>221</v>
      </c>
      <c r="E376" t="s">
        <v>154</v>
      </c>
      <c r="F376" t="s">
        <v>215</v>
      </c>
      <c r="G376" s="6">
        <v>500</v>
      </c>
      <c r="H376" s="7">
        <v>1.0999999999999999E-2</v>
      </c>
      <c r="I376" s="7">
        <v>4.4800000000000004</v>
      </c>
    </row>
    <row r="377" spans="1:9" hidden="1" x14ac:dyDescent="0.2">
      <c r="A377" t="s">
        <v>18</v>
      </c>
      <c r="B377" s="4" t="s">
        <v>218</v>
      </c>
      <c r="C377" s="5">
        <v>45702</v>
      </c>
      <c r="D377" t="s">
        <v>219</v>
      </c>
      <c r="E377" t="s">
        <v>37</v>
      </c>
      <c r="F377" t="s">
        <v>16</v>
      </c>
      <c r="G377" s="6">
        <v>700</v>
      </c>
      <c r="H377" s="7" t="s">
        <v>17</v>
      </c>
      <c r="I377" s="7" t="s">
        <v>17</v>
      </c>
    </row>
    <row r="378" spans="1:9" hidden="1" x14ac:dyDescent="0.2">
      <c r="A378" t="s">
        <v>8</v>
      </c>
      <c r="B378" s="4" t="s">
        <v>218</v>
      </c>
      <c r="C378" s="5">
        <v>45702</v>
      </c>
      <c r="D378" t="s">
        <v>219</v>
      </c>
      <c r="E378" t="s">
        <v>37</v>
      </c>
      <c r="F378" t="s">
        <v>215</v>
      </c>
      <c r="G378" s="6">
        <v>700</v>
      </c>
      <c r="H378" s="7" t="s">
        <v>17</v>
      </c>
      <c r="I378" s="7" t="s">
        <v>17</v>
      </c>
    </row>
    <row r="379" spans="1:9" hidden="1" x14ac:dyDescent="0.2">
      <c r="A379" t="s">
        <v>18</v>
      </c>
      <c r="B379" s="4" t="s">
        <v>218</v>
      </c>
      <c r="C379" s="5">
        <v>45702</v>
      </c>
      <c r="D379" t="s">
        <v>225</v>
      </c>
      <c r="E379" t="s">
        <v>226</v>
      </c>
      <c r="F379" t="s">
        <v>16</v>
      </c>
      <c r="G379" s="6">
        <v>29.27</v>
      </c>
      <c r="H379" s="7" t="s">
        <v>17</v>
      </c>
      <c r="I379" s="7" t="s">
        <v>17</v>
      </c>
    </row>
    <row r="380" spans="1:9" hidden="1" x14ac:dyDescent="0.2">
      <c r="A380" t="s">
        <v>8</v>
      </c>
      <c r="B380" s="4" t="s">
        <v>218</v>
      </c>
      <c r="C380" s="5">
        <v>45702</v>
      </c>
      <c r="D380" t="s">
        <v>225</v>
      </c>
      <c r="E380" t="s">
        <v>226</v>
      </c>
      <c r="F380" t="s">
        <v>215</v>
      </c>
      <c r="G380" s="6">
        <v>29.27</v>
      </c>
      <c r="H380" s="7" t="s">
        <v>17</v>
      </c>
      <c r="I380" s="7" t="s">
        <v>17</v>
      </c>
    </row>
    <row r="381" spans="1:9" hidden="1" x14ac:dyDescent="0.2">
      <c r="A381" t="s">
        <v>18</v>
      </c>
      <c r="B381" s="4" t="s">
        <v>218</v>
      </c>
      <c r="C381" s="5">
        <v>45702</v>
      </c>
      <c r="D381" t="s">
        <v>225</v>
      </c>
      <c r="E381" t="s">
        <v>227</v>
      </c>
      <c r="F381" t="s">
        <v>16</v>
      </c>
      <c r="G381" s="6">
        <v>22.05</v>
      </c>
      <c r="H381" s="7" t="s">
        <v>17</v>
      </c>
      <c r="I381" s="7" t="s">
        <v>17</v>
      </c>
    </row>
    <row r="382" spans="1:9" hidden="1" x14ac:dyDescent="0.2">
      <c r="A382" t="s">
        <v>8</v>
      </c>
      <c r="B382" s="4" t="s">
        <v>218</v>
      </c>
      <c r="C382" s="5">
        <v>45702</v>
      </c>
      <c r="D382" t="s">
        <v>225</v>
      </c>
      <c r="E382" t="s">
        <v>227</v>
      </c>
      <c r="F382" t="s">
        <v>215</v>
      </c>
      <c r="G382" s="6">
        <v>22.05</v>
      </c>
      <c r="H382" s="7" t="s">
        <v>17</v>
      </c>
      <c r="I382" s="7" t="s">
        <v>17</v>
      </c>
    </row>
    <row r="383" spans="1:9" hidden="1" x14ac:dyDescent="0.2">
      <c r="A383" t="s">
        <v>18</v>
      </c>
      <c r="B383" s="4" t="s">
        <v>218</v>
      </c>
      <c r="C383" s="5">
        <v>45702</v>
      </c>
      <c r="D383" t="s">
        <v>225</v>
      </c>
      <c r="E383" t="s">
        <v>228</v>
      </c>
      <c r="F383" t="s">
        <v>16</v>
      </c>
      <c r="G383" s="6">
        <v>20.04</v>
      </c>
      <c r="H383" s="7" t="s">
        <v>17</v>
      </c>
      <c r="I383" s="7" t="s">
        <v>17</v>
      </c>
    </row>
    <row r="384" spans="1:9" hidden="1" x14ac:dyDescent="0.2">
      <c r="A384" t="s">
        <v>8</v>
      </c>
      <c r="B384" s="4" t="s">
        <v>218</v>
      </c>
      <c r="C384" s="5">
        <v>45702</v>
      </c>
      <c r="D384" t="s">
        <v>225</v>
      </c>
      <c r="E384" t="s">
        <v>228</v>
      </c>
      <c r="F384" t="s">
        <v>215</v>
      </c>
      <c r="G384" s="6">
        <v>20.04</v>
      </c>
      <c r="H384" s="7" t="s">
        <v>17</v>
      </c>
      <c r="I384" s="7" t="s">
        <v>17</v>
      </c>
    </row>
    <row r="385" spans="1:9" hidden="1" x14ac:dyDescent="0.2">
      <c r="A385" t="s">
        <v>18</v>
      </c>
      <c r="B385" s="4" t="s">
        <v>218</v>
      </c>
      <c r="C385" s="5">
        <v>45702</v>
      </c>
      <c r="D385" t="s">
        <v>219</v>
      </c>
      <c r="E385" t="s">
        <v>76</v>
      </c>
      <c r="F385" t="s">
        <v>16</v>
      </c>
      <c r="G385" s="6">
        <v>200</v>
      </c>
      <c r="H385" s="7" t="s">
        <v>17</v>
      </c>
      <c r="I385" s="7" t="s">
        <v>17</v>
      </c>
    </row>
    <row r="386" spans="1:9" hidden="1" x14ac:dyDescent="0.2">
      <c r="A386" t="s">
        <v>18</v>
      </c>
      <c r="B386" s="4" t="s">
        <v>218</v>
      </c>
      <c r="C386" s="5">
        <v>45702</v>
      </c>
      <c r="D386" t="s">
        <v>221</v>
      </c>
      <c r="E386" t="s">
        <v>76</v>
      </c>
      <c r="F386" t="s">
        <v>16</v>
      </c>
      <c r="G386" s="6">
        <v>200</v>
      </c>
      <c r="H386" s="7">
        <v>0.52100000000000002</v>
      </c>
      <c r="I386" s="7">
        <v>88.49</v>
      </c>
    </row>
    <row r="387" spans="1:9" hidden="1" x14ac:dyDescent="0.2">
      <c r="A387" t="s">
        <v>8</v>
      </c>
      <c r="B387" s="4" t="s">
        <v>218</v>
      </c>
      <c r="C387" s="5">
        <v>45702</v>
      </c>
      <c r="D387" t="s">
        <v>221</v>
      </c>
      <c r="E387" t="s">
        <v>76</v>
      </c>
      <c r="F387" t="s">
        <v>215</v>
      </c>
      <c r="G387" s="6">
        <v>200</v>
      </c>
      <c r="H387" s="7">
        <v>0.52100000000000002</v>
      </c>
      <c r="I387" s="7">
        <v>88.49</v>
      </c>
    </row>
    <row r="388" spans="1:9" hidden="1" x14ac:dyDescent="0.2">
      <c r="A388" t="s">
        <v>8</v>
      </c>
      <c r="B388" s="4" t="s">
        <v>218</v>
      </c>
      <c r="C388" s="5">
        <v>45702</v>
      </c>
      <c r="D388" t="s">
        <v>219</v>
      </c>
      <c r="E388" t="s">
        <v>76</v>
      </c>
      <c r="F388" t="s">
        <v>215</v>
      </c>
      <c r="G388" s="6">
        <v>200</v>
      </c>
      <c r="H388" s="7" t="s">
        <v>17</v>
      </c>
      <c r="I388" s="7" t="s">
        <v>17</v>
      </c>
    </row>
    <row r="389" spans="1:9" hidden="1" x14ac:dyDescent="0.2">
      <c r="A389" t="s">
        <v>18</v>
      </c>
      <c r="B389" s="4" t="s">
        <v>218</v>
      </c>
      <c r="C389" s="5">
        <v>45702</v>
      </c>
      <c r="D389" t="s">
        <v>221</v>
      </c>
      <c r="E389" t="s">
        <v>129</v>
      </c>
      <c r="F389" t="s">
        <v>16</v>
      </c>
      <c r="G389" s="6">
        <v>800</v>
      </c>
      <c r="H389" s="7">
        <v>0.08</v>
      </c>
      <c r="I389" s="7">
        <v>54.24</v>
      </c>
    </row>
    <row r="390" spans="1:9" hidden="1" x14ac:dyDescent="0.2">
      <c r="A390" t="s">
        <v>18</v>
      </c>
      <c r="B390" s="4" t="s">
        <v>218</v>
      </c>
      <c r="C390" s="5">
        <v>45702</v>
      </c>
      <c r="D390" t="s">
        <v>221</v>
      </c>
      <c r="E390" t="s">
        <v>129</v>
      </c>
      <c r="F390" t="s">
        <v>16</v>
      </c>
      <c r="G390" s="6">
        <v>800</v>
      </c>
      <c r="H390" s="7">
        <v>7.0000000000000007E-2</v>
      </c>
      <c r="I390" s="7">
        <v>47.64</v>
      </c>
    </row>
    <row r="391" spans="1:9" hidden="1" x14ac:dyDescent="0.2">
      <c r="A391" t="s">
        <v>18</v>
      </c>
      <c r="B391" s="4" t="s">
        <v>218</v>
      </c>
      <c r="C391" s="5">
        <v>45702</v>
      </c>
      <c r="D391" t="s">
        <v>219</v>
      </c>
      <c r="E391" t="s">
        <v>129</v>
      </c>
      <c r="F391" t="s">
        <v>16</v>
      </c>
      <c r="G391" s="6">
        <v>800</v>
      </c>
      <c r="H391" s="7" t="s">
        <v>17</v>
      </c>
      <c r="I391" s="7" t="s">
        <v>17</v>
      </c>
    </row>
    <row r="392" spans="1:9" hidden="1" x14ac:dyDescent="0.2">
      <c r="A392" t="s">
        <v>8</v>
      </c>
      <c r="B392" s="4" t="s">
        <v>218</v>
      </c>
      <c r="C392" s="5">
        <v>45702</v>
      </c>
      <c r="D392" t="s">
        <v>221</v>
      </c>
      <c r="E392" t="s">
        <v>129</v>
      </c>
      <c r="F392" t="s">
        <v>215</v>
      </c>
      <c r="G392" s="6">
        <v>800</v>
      </c>
      <c r="H392" s="7">
        <v>7.0000000000000007E-2</v>
      </c>
      <c r="I392" s="7">
        <v>47.64</v>
      </c>
    </row>
    <row r="393" spans="1:9" hidden="1" x14ac:dyDescent="0.2">
      <c r="A393" t="s">
        <v>8</v>
      </c>
      <c r="B393" s="4" t="s">
        <v>218</v>
      </c>
      <c r="C393" s="5">
        <v>45702</v>
      </c>
      <c r="D393" t="s">
        <v>219</v>
      </c>
      <c r="E393" t="s">
        <v>129</v>
      </c>
      <c r="F393" t="s">
        <v>215</v>
      </c>
      <c r="G393" s="6">
        <v>800</v>
      </c>
      <c r="H393" s="7" t="s">
        <v>17</v>
      </c>
      <c r="I393" s="7" t="s">
        <v>17</v>
      </c>
    </row>
    <row r="394" spans="1:9" hidden="1" x14ac:dyDescent="0.2">
      <c r="A394" t="s">
        <v>8</v>
      </c>
      <c r="B394" s="4" t="s">
        <v>218</v>
      </c>
      <c r="C394" s="5">
        <v>45702</v>
      </c>
      <c r="D394" t="s">
        <v>221</v>
      </c>
      <c r="E394" t="s">
        <v>129</v>
      </c>
      <c r="F394" t="s">
        <v>215</v>
      </c>
      <c r="G394" s="6">
        <v>800</v>
      </c>
      <c r="H394" s="7">
        <v>0.08</v>
      </c>
      <c r="I394" s="7">
        <v>54.24</v>
      </c>
    </row>
    <row r="395" spans="1:9" hidden="1" x14ac:dyDescent="0.2">
      <c r="A395" t="s">
        <v>18</v>
      </c>
      <c r="B395" s="4" t="s">
        <v>229</v>
      </c>
      <c r="C395" s="5">
        <v>45695</v>
      </c>
      <c r="D395" t="s">
        <v>24</v>
      </c>
      <c r="E395" t="s">
        <v>44</v>
      </c>
      <c r="F395" t="s">
        <v>215</v>
      </c>
      <c r="G395" s="6">
        <v>300</v>
      </c>
      <c r="H395" s="7">
        <v>0.30599999999999999</v>
      </c>
      <c r="I395" s="7">
        <v>78.13</v>
      </c>
    </row>
    <row r="396" spans="1:9" hidden="1" x14ac:dyDescent="0.2">
      <c r="A396" t="s">
        <v>18</v>
      </c>
      <c r="B396" s="4" t="s">
        <v>230</v>
      </c>
      <c r="C396" s="5">
        <v>45691</v>
      </c>
      <c r="D396" t="s">
        <v>24</v>
      </c>
      <c r="E396" t="s">
        <v>123</v>
      </c>
      <c r="F396" t="s">
        <v>215</v>
      </c>
      <c r="G396" s="6">
        <v>200</v>
      </c>
      <c r="H396" s="7">
        <v>1.7999999999999999E-2</v>
      </c>
      <c r="I396" s="7">
        <v>3.01</v>
      </c>
    </row>
    <row r="397" spans="1:9" hidden="1" x14ac:dyDescent="0.2">
      <c r="A397" s="1" t="s">
        <v>18</v>
      </c>
      <c r="B397" s="8" t="s">
        <v>231</v>
      </c>
      <c r="C397" s="9">
        <v>45688</v>
      </c>
      <c r="D397" s="1" t="s">
        <v>31</v>
      </c>
      <c r="E397" s="1" t="s">
        <v>172</v>
      </c>
      <c r="F397" s="1" t="s">
        <v>215</v>
      </c>
      <c r="G397" s="10">
        <v>110</v>
      </c>
      <c r="H397" s="11" t="s">
        <v>17</v>
      </c>
      <c r="I397" s="11" t="s">
        <v>17</v>
      </c>
    </row>
    <row r="398" spans="1:9" hidden="1" x14ac:dyDescent="0.2">
      <c r="A398" t="s">
        <v>18</v>
      </c>
      <c r="B398" s="4" t="s">
        <v>232</v>
      </c>
      <c r="C398" s="5">
        <v>45686</v>
      </c>
      <c r="D398" t="s">
        <v>24</v>
      </c>
      <c r="E398" t="s">
        <v>37</v>
      </c>
      <c r="F398" t="s">
        <v>215</v>
      </c>
      <c r="G398" s="6">
        <v>700</v>
      </c>
      <c r="H398" s="7">
        <v>0.4</v>
      </c>
      <c r="I398" s="7">
        <v>237.96</v>
      </c>
    </row>
    <row r="399" spans="1:9" hidden="1" x14ac:dyDescent="0.2">
      <c r="A399" t="s">
        <v>18</v>
      </c>
      <c r="B399" s="4" t="s">
        <v>232</v>
      </c>
      <c r="C399" s="5">
        <v>45686</v>
      </c>
      <c r="D399" t="s">
        <v>35</v>
      </c>
      <c r="E399" t="s">
        <v>37</v>
      </c>
      <c r="F399" t="s">
        <v>215</v>
      </c>
      <c r="G399" s="6">
        <v>700</v>
      </c>
      <c r="H399" s="7">
        <v>0.26900000000000002</v>
      </c>
      <c r="I399" s="7">
        <v>188.34</v>
      </c>
    </row>
    <row r="400" spans="1:9" hidden="1" x14ac:dyDescent="0.2">
      <c r="A400" t="s">
        <v>18</v>
      </c>
      <c r="B400" s="4" t="s">
        <v>233</v>
      </c>
      <c r="C400" s="5">
        <v>45677</v>
      </c>
      <c r="D400" t="s">
        <v>41</v>
      </c>
      <c r="E400" t="s">
        <v>114</v>
      </c>
      <c r="F400" t="s">
        <v>215</v>
      </c>
      <c r="G400" s="6">
        <v>188</v>
      </c>
      <c r="H400" s="7">
        <v>0.8</v>
      </c>
      <c r="I400" s="7">
        <v>150.4</v>
      </c>
    </row>
    <row r="401" spans="1:9" hidden="1" x14ac:dyDescent="0.2">
      <c r="A401" t="s">
        <v>18</v>
      </c>
      <c r="B401" s="4" t="s">
        <v>234</v>
      </c>
      <c r="C401" s="5">
        <v>45674</v>
      </c>
      <c r="D401" t="s">
        <v>41</v>
      </c>
      <c r="E401" t="s">
        <v>133</v>
      </c>
      <c r="F401" t="s">
        <v>215</v>
      </c>
      <c r="G401" s="6">
        <v>187</v>
      </c>
      <c r="H401" s="7">
        <v>0.93</v>
      </c>
      <c r="I401" s="7">
        <v>173.91</v>
      </c>
    </row>
    <row r="402" spans="1:9" hidden="1" x14ac:dyDescent="0.2">
      <c r="A402" t="s">
        <v>18</v>
      </c>
      <c r="B402" s="4" t="s">
        <v>235</v>
      </c>
      <c r="C402" s="5">
        <v>45672</v>
      </c>
      <c r="D402" t="s">
        <v>41</v>
      </c>
      <c r="E402" t="s">
        <v>50</v>
      </c>
      <c r="F402" t="s">
        <v>215</v>
      </c>
      <c r="G402" s="6">
        <v>99</v>
      </c>
      <c r="H402" s="7">
        <v>1.1000000000000001</v>
      </c>
      <c r="I402" s="7">
        <v>108.9</v>
      </c>
    </row>
    <row r="403" spans="1:9" hidden="1" x14ac:dyDescent="0.2">
      <c r="A403" t="s">
        <v>18</v>
      </c>
      <c r="B403" s="4" t="s">
        <v>235</v>
      </c>
      <c r="C403" s="5">
        <v>45672</v>
      </c>
      <c r="D403" t="s">
        <v>41</v>
      </c>
      <c r="E403" t="s">
        <v>222</v>
      </c>
      <c r="F403" t="s">
        <v>215</v>
      </c>
      <c r="G403" s="6">
        <v>129</v>
      </c>
      <c r="H403" s="7">
        <v>1.9</v>
      </c>
      <c r="I403" s="7">
        <v>245.1</v>
      </c>
    </row>
    <row r="404" spans="1:9" hidden="1" x14ac:dyDescent="0.2">
      <c r="A404" t="s">
        <v>18</v>
      </c>
      <c r="B404" s="4" t="s">
        <v>235</v>
      </c>
      <c r="C404" s="5">
        <v>45672</v>
      </c>
      <c r="D404" t="s">
        <v>41</v>
      </c>
      <c r="E404" t="s">
        <v>186</v>
      </c>
      <c r="F404" t="s">
        <v>215</v>
      </c>
      <c r="G404" s="6">
        <v>153</v>
      </c>
      <c r="H404" s="7">
        <v>0.78</v>
      </c>
      <c r="I404" s="7">
        <v>119.34</v>
      </c>
    </row>
    <row r="405" spans="1:9" hidden="1" x14ac:dyDescent="0.2">
      <c r="A405" t="s">
        <v>18</v>
      </c>
      <c r="B405" s="4" t="s">
        <v>236</v>
      </c>
      <c r="C405" s="5">
        <v>45665</v>
      </c>
      <c r="D405" t="s">
        <v>24</v>
      </c>
      <c r="E405" t="s">
        <v>63</v>
      </c>
      <c r="F405" t="s">
        <v>237</v>
      </c>
      <c r="G405" s="6">
        <v>700</v>
      </c>
      <c r="H405" s="7">
        <v>6.4000000000000001E-2</v>
      </c>
      <c r="I405" s="7">
        <v>38.1</v>
      </c>
    </row>
    <row r="406" spans="1:9" hidden="1" x14ac:dyDescent="0.2">
      <c r="A406" t="s">
        <v>18</v>
      </c>
      <c r="B406" s="4" t="s">
        <v>238</v>
      </c>
      <c r="C406" s="5">
        <v>45659</v>
      </c>
      <c r="D406" t="s">
        <v>24</v>
      </c>
      <c r="E406" t="s">
        <v>123</v>
      </c>
      <c r="F406" t="s">
        <v>237</v>
      </c>
      <c r="G406" s="6">
        <v>200</v>
      </c>
      <c r="H406" s="7">
        <v>1.7999999999999999E-2</v>
      </c>
      <c r="I406" s="7">
        <v>3.01</v>
      </c>
    </row>
    <row r="407" spans="1:9" hidden="1" x14ac:dyDescent="0.2">
      <c r="A407" t="s">
        <v>18</v>
      </c>
      <c r="B407" s="4" t="s">
        <v>239</v>
      </c>
      <c r="C407" s="5">
        <v>45653</v>
      </c>
      <c r="D407" t="s">
        <v>24</v>
      </c>
      <c r="E407" t="s">
        <v>107</v>
      </c>
      <c r="F407" t="s">
        <v>237</v>
      </c>
      <c r="G407" s="6">
        <v>700</v>
      </c>
      <c r="H407" s="7">
        <v>0.17599999999999999</v>
      </c>
      <c r="I407" s="7">
        <v>105.01</v>
      </c>
    </row>
    <row r="408" spans="1:9" hidden="1" x14ac:dyDescent="0.2">
      <c r="A408" t="s">
        <v>18</v>
      </c>
      <c r="B408" s="4" t="s">
        <v>239</v>
      </c>
      <c r="C408" s="5">
        <v>45653</v>
      </c>
      <c r="D408" t="s">
        <v>35</v>
      </c>
      <c r="E408" t="s">
        <v>152</v>
      </c>
      <c r="F408" t="s">
        <v>237</v>
      </c>
      <c r="G408" s="6">
        <v>500</v>
      </c>
      <c r="H408" s="7">
        <v>0.16300000000000001</v>
      </c>
      <c r="I408" s="7">
        <v>81.58</v>
      </c>
    </row>
    <row r="409" spans="1:9" hidden="1" x14ac:dyDescent="0.2">
      <c r="A409" t="s">
        <v>18</v>
      </c>
      <c r="B409" s="4" t="s">
        <v>239</v>
      </c>
      <c r="C409" s="5">
        <v>45653</v>
      </c>
      <c r="D409" t="s">
        <v>24</v>
      </c>
      <c r="E409" t="s">
        <v>57</v>
      </c>
      <c r="F409" t="s">
        <v>237</v>
      </c>
      <c r="G409" s="6">
        <v>830</v>
      </c>
      <c r="H409" s="7">
        <v>0.214</v>
      </c>
      <c r="I409" s="7">
        <v>150.91</v>
      </c>
    </row>
    <row r="410" spans="1:9" hidden="1" x14ac:dyDescent="0.2">
      <c r="A410" t="s">
        <v>18</v>
      </c>
      <c r="B410" s="4" t="s">
        <v>239</v>
      </c>
      <c r="C410" s="5">
        <v>45653</v>
      </c>
      <c r="D410" t="s">
        <v>24</v>
      </c>
      <c r="E410" t="s">
        <v>223</v>
      </c>
      <c r="F410" t="s">
        <v>16</v>
      </c>
      <c r="G410" s="6">
        <v>100</v>
      </c>
      <c r="H410" s="7">
        <v>0.308</v>
      </c>
      <c r="I410" s="7">
        <v>26.18</v>
      </c>
    </row>
    <row r="411" spans="1:9" hidden="1" x14ac:dyDescent="0.2">
      <c r="A411" t="s">
        <v>18</v>
      </c>
      <c r="B411" s="4" t="s">
        <v>239</v>
      </c>
      <c r="C411" s="5">
        <v>45653</v>
      </c>
      <c r="D411" t="s">
        <v>24</v>
      </c>
      <c r="E411" t="s">
        <v>223</v>
      </c>
      <c r="F411" t="s">
        <v>237</v>
      </c>
      <c r="G411" s="6">
        <v>300</v>
      </c>
      <c r="H411" s="7">
        <v>0.308</v>
      </c>
      <c r="I411" s="7">
        <v>78.48</v>
      </c>
    </row>
    <row r="412" spans="1:9" hidden="1" x14ac:dyDescent="0.2">
      <c r="A412" t="s">
        <v>18</v>
      </c>
      <c r="B412" s="4" t="s">
        <v>239</v>
      </c>
      <c r="C412" s="5">
        <v>45653</v>
      </c>
      <c r="D412" t="s">
        <v>24</v>
      </c>
      <c r="E412" t="s">
        <v>223</v>
      </c>
      <c r="F412" t="s">
        <v>237</v>
      </c>
      <c r="G412" s="6">
        <v>200</v>
      </c>
      <c r="H412" s="7">
        <v>0.308</v>
      </c>
      <c r="I412" s="7">
        <v>52.34</v>
      </c>
    </row>
    <row r="413" spans="1:9" hidden="1" x14ac:dyDescent="0.2">
      <c r="A413" t="s">
        <v>18</v>
      </c>
      <c r="B413" s="4" t="s">
        <v>239</v>
      </c>
      <c r="C413" s="5">
        <v>45653</v>
      </c>
      <c r="D413" t="s">
        <v>24</v>
      </c>
      <c r="E413" t="s">
        <v>223</v>
      </c>
      <c r="F413" t="s">
        <v>237</v>
      </c>
      <c r="G413" s="6">
        <v>200</v>
      </c>
      <c r="H413" s="7">
        <v>0.308</v>
      </c>
      <c r="I413" s="7">
        <v>52.35</v>
      </c>
    </row>
    <row r="414" spans="1:9" x14ac:dyDescent="0.2">
      <c r="A414" t="s">
        <v>8</v>
      </c>
      <c r="B414" s="4" t="s">
        <v>240</v>
      </c>
      <c r="C414" s="5">
        <v>45652</v>
      </c>
      <c r="D414" t="s">
        <v>14</v>
      </c>
      <c r="E414" t="s">
        <v>241</v>
      </c>
      <c r="F414" t="s">
        <v>237</v>
      </c>
      <c r="G414" s="6">
        <v>0</v>
      </c>
      <c r="H414" s="7" t="s">
        <v>17</v>
      </c>
      <c r="I414" s="7" t="s">
        <v>17</v>
      </c>
    </row>
    <row r="415" spans="1:9" hidden="1" x14ac:dyDescent="0.2">
      <c r="A415" t="s">
        <v>8</v>
      </c>
      <c r="B415" s="4" t="s">
        <v>242</v>
      </c>
      <c r="C415" s="5">
        <v>45649</v>
      </c>
      <c r="D415" t="s">
        <v>21</v>
      </c>
      <c r="E415" t="s">
        <v>241</v>
      </c>
      <c r="F415" t="s">
        <v>237</v>
      </c>
      <c r="G415" s="6">
        <v>19</v>
      </c>
      <c r="H415" s="7" t="s">
        <v>17</v>
      </c>
      <c r="I415" s="7" t="s">
        <v>17</v>
      </c>
    </row>
    <row r="416" spans="1:9" hidden="1" x14ac:dyDescent="0.2">
      <c r="A416" t="s">
        <v>18</v>
      </c>
      <c r="B416" s="4" t="s">
        <v>242</v>
      </c>
      <c r="C416" s="5">
        <v>45649</v>
      </c>
      <c r="D416" t="s">
        <v>20</v>
      </c>
      <c r="E416" t="s">
        <v>241</v>
      </c>
      <c r="F416" t="s">
        <v>237</v>
      </c>
      <c r="G416" s="6">
        <v>19</v>
      </c>
      <c r="H416" s="7" t="s">
        <v>17</v>
      </c>
      <c r="I416" s="7" t="s">
        <v>17</v>
      </c>
    </row>
    <row r="417" spans="1:9" hidden="1" x14ac:dyDescent="0.2">
      <c r="A417" t="s">
        <v>18</v>
      </c>
      <c r="B417" s="4" t="s">
        <v>242</v>
      </c>
      <c r="C417" s="5">
        <v>45649</v>
      </c>
      <c r="D417" t="s">
        <v>35</v>
      </c>
      <c r="E417" t="s">
        <v>154</v>
      </c>
      <c r="F417" t="s">
        <v>237</v>
      </c>
      <c r="G417" s="6">
        <v>500</v>
      </c>
      <c r="H417" s="7">
        <v>1.552</v>
      </c>
      <c r="I417" s="7">
        <v>775.87</v>
      </c>
    </row>
    <row r="418" spans="1:9" hidden="1" x14ac:dyDescent="0.2">
      <c r="A418" t="s">
        <v>18</v>
      </c>
      <c r="B418" s="4" t="s">
        <v>243</v>
      </c>
      <c r="C418" s="5">
        <v>45646</v>
      </c>
      <c r="D418" t="s">
        <v>35</v>
      </c>
      <c r="E418" t="s">
        <v>154</v>
      </c>
      <c r="F418" t="s">
        <v>237</v>
      </c>
      <c r="G418" s="6">
        <v>500</v>
      </c>
      <c r="H418" s="7">
        <v>0.52700000000000002</v>
      </c>
      <c r="I418" s="7">
        <v>263.3</v>
      </c>
    </row>
    <row r="419" spans="1:9" hidden="1" x14ac:dyDescent="0.2">
      <c r="A419" t="s">
        <v>18</v>
      </c>
      <c r="B419" s="4" t="s">
        <v>244</v>
      </c>
      <c r="C419" s="5">
        <v>45644</v>
      </c>
      <c r="D419" t="s">
        <v>24</v>
      </c>
      <c r="E419" t="s">
        <v>36</v>
      </c>
      <c r="F419" t="s">
        <v>237</v>
      </c>
      <c r="G419" s="6">
        <v>300</v>
      </c>
      <c r="H419" s="7">
        <v>0.53900000000000003</v>
      </c>
      <c r="I419" s="7">
        <v>137.49</v>
      </c>
    </row>
    <row r="420" spans="1:9" hidden="1" x14ac:dyDescent="0.2">
      <c r="A420" t="s">
        <v>18</v>
      </c>
      <c r="B420" s="4" t="s">
        <v>244</v>
      </c>
      <c r="C420" s="5">
        <v>45644</v>
      </c>
      <c r="D420" t="s">
        <v>41</v>
      </c>
      <c r="E420" t="s">
        <v>114</v>
      </c>
      <c r="F420" t="s">
        <v>237</v>
      </c>
      <c r="G420" s="6">
        <v>188</v>
      </c>
      <c r="H420" s="7">
        <v>0.8</v>
      </c>
      <c r="I420" s="7">
        <v>150.4</v>
      </c>
    </row>
    <row r="421" spans="1:9" hidden="1" x14ac:dyDescent="0.2">
      <c r="A421" t="s">
        <v>18</v>
      </c>
      <c r="B421" s="4" t="s">
        <v>245</v>
      </c>
      <c r="C421" s="5">
        <v>45643</v>
      </c>
      <c r="D421" t="s">
        <v>41</v>
      </c>
      <c r="E421" t="s">
        <v>133</v>
      </c>
      <c r="F421" t="s">
        <v>237</v>
      </c>
      <c r="G421" s="6">
        <v>187</v>
      </c>
      <c r="H421" s="7">
        <v>0.77</v>
      </c>
      <c r="I421" s="7">
        <v>143.99</v>
      </c>
    </row>
    <row r="422" spans="1:9" hidden="1" x14ac:dyDescent="0.2">
      <c r="A422" t="s">
        <v>18</v>
      </c>
      <c r="B422" s="4" t="s">
        <v>246</v>
      </c>
      <c r="C422" s="5">
        <v>45639</v>
      </c>
      <c r="D422" t="s">
        <v>41</v>
      </c>
      <c r="E422" t="s">
        <v>50</v>
      </c>
      <c r="F422" t="s">
        <v>237</v>
      </c>
      <c r="G422" s="6">
        <v>99</v>
      </c>
      <c r="H422" s="7">
        <v>1.1000000000000001</v>
      </c>
      <c r="I422" s="7">
        <v>108.9</v>
      </c>
    </row>
    <row r="423" spans="1:9" hidden="1" x14ac:dyDescent="0.2">
      <c r="A423" t="s">
        <v>18</v>
      </c>
      <c r="B423" s="4" t="s">
        <v>246</v>
      </c>
      <c r="C423" s="5">
        <v>45639</v>
      </c>
      <c r="D423" t="s">
        <v>41</v>
      </c>
      <c r="E423" t="s">
        <v>222</v>
      </c>
      <c r="F423" t="s">
        <v>237</v>
      </c>
      <c r="G423" s="6">
        <v>129</v>
      </c>
      <c r="H423" s="7">
        <v>0.9</v>
      </c>
      <c r="I423" s="7">
        <v>116.1</v>
      </c>
    </row>
    <row r="424" spans="1:9" hidden="1" x14ac:dyDescent="0.2">
      <c r="A424" t="s">
        <v>18</v>
      </c>
      <c r="B424" s="4" t="s">
        <v>246</v>
      </c>
      <c r="C424" s="5">
        <v>45639</v>
      </c>
      <c r="D424" t="s">
        <v>41</v>
      </c>
      <c r="E424" t="s">
        <v>186</v>
      </c>
      <c r="F424" t="s">
        <v>237</v>
      </c>
      <c r="G424" s="6">
        <v>153</v>
      </c>
      <c r="H424" s="7">
        <v>0.78</v>
      </c>
      <c r="I424" s="7">
        <v>119.34</v>
      </c>
    </row>
    <row r="425" spans="1:9" x14ac:dyDescent="0.2">
      <c r="A425" t="s">
        <v>18</v>
      </c>
      <c r="B425" s="4" t="s">
        <v>247</v>
      </c>
      <c r="C425" s="5">
        <v>45637</v>
      </c>
      <c r="D425" t="s">
        <v>28</v>
      </c>
      <c r="E425" t="s">
        <v>241</v>
      </c>
      <c r="F425" t="s">
        <v>237</v>
      </c>
      <c r="G425" s="6">
        <v>19</v>
      </c>
      <c r="H425" s="7" t="s">
        <v>17</v>
      </c>
      <c r="I425" s="7" t="s">
        <v>17</v>
      </c>
    </row>
    <row r="426" spans="1:9" hidden="1" x14ac:dyDescent="0.2">
      <c r="A426" t="s">
        <v>18</v>
      </c>
      <c r="B426" s="4" t="s">
        <v>248</v>
      </c>
      <c r="C426" s="5">
        <v>45632</v>
      </c>
      <c r="D426" t="s">
        <v>24</v>
      </c>
      <c r="E426" t="s">
        <v>107</v>
      </c>
      <c r="F426" t="s">
        <v>237</v>
      </c>
      <c r="G426" s="6">
        <v>700</v>
      </c>
      <c r="H426" s="7">
        <v>0.48299999999999998</v>
      </c>
      <c r="I426" s="7">
        <v>287.57</v>
      </c>
    </row>
    <row r="427" spans="1:9" hidden="1" x14ac:dyDescent="0.2">
      <c r="A427" t="s">
        <v>18</v>
      </c>
      <c r="B427" s="4" t="s">
        <v>249</v>
      </c>
      <c r="C427" s="5">
        <v>45628</v>
      </c>
      <c r="D427" t="s">
        <v>24</v>
      </c>
      <c r="E427" t="s">
        <v>123</v>
      </c>
      <c r="F427" t="s">
        <v>237</v>
      </c>
      <c r="G427" s="6">
        <v>200</v>
      </c>
      <c r="H427" s="7">
        <v>1.7999999999999999E-2</v>
      </c>
      <c r="I427" s="7">
        <v>3.01</v>
      </c>
    </row>
    <row r="428" spans="1:9" hidden="1" x14ac:dyDescent="0.2">
      <c r="A428" t="s">
        <v>18</v>
      </c>
      <c r="B428" s="4" t="s">
        <v>250</v>
      </c>
      <c r="C428" s="5">
        <v>45623</v>
      </c>
      <c r="D428" t="s">
        <v>35</v>
      </c>
      <c r="E428" t="s">
        <v>37</v>
      </c>
      <c r="F428" t="s">
        <v>237</v>
      </c>
      <c r="G428" s="6">
        <v>700</v>
      </c>
      <c r="H428" s="7">
        <v>0.30499999999999999</v>
      </c>
      <c r="I428" s="7">
        <v>213.52</v>
      </c>
    </row>
    <row r="429" spans="1:9" hidden="1" x14ac:dyDescent="0.2">
      <c r="A429" t="s">
        <v>18</v>
      </c>
      <c r="B429" s="4" t="s">
        <v>250</v>
      </c>
      <c r="C429" s="5">
        <v>45623</v>
      </c>
      <c r="D429" t="s">
        <v>24</v>
      </c>
      <c r="E429" t="s">
        <v>37</v>
      </c>
      <c r="F429" t="s">
        <v>237</v>
      </c>
      <c r="G429" s="6">
        <v>700</v>
      </c>
      <c r="H429" s="7">
        <v>0.34300000000000003</v>
      </c>
      <c r="I429" s="7">
        <v>204.14</v>
      </c>
    </row>
    <row r="430" spans="1:9" hidden="1" x14ac:dyDescent="0.2">
      <c r="A430" t="s">
        <v>18</v>
      </c>
      <c r="B430" s="4" t="s">
        <v>251</v>
      </c>
      <c r="C430" s="5">
        <v>45617</v>
      </c>
      <c r="D430" t="s">
        <v>41</v>
      </c>
      <c r="E430" t="s">
        <v>114</v>
      </c>
      <c r="F430" t="s">
        <v>237</v>
      </c>
      <c r="G430" s="6">
        <v>188</v>
      </c>
      <c r="H430" s="7">
        <v>0.8</v>
      </c>
      <c r="I430" s="7">
        <v>150.4</v>
      </c>
    </row>
    <row r="431" spans="1:9" hidden="1" x14ac:dyDescent="0.2">
      <c r="A431" t="s">
        <v>18</v>
      </c>
      <c r="B431" s="4" t="s">
        <v>251</v>
      </c>
      <c r="C431" s="5">
        <v>45617</v>
      </c>
      <c r="D431" t="s">
        <v>24</v>
      </c>
      <c r="E431" t="s">
        <v>154</v>
      </c>
      <c r="F431" t="s">
        <v>237</v>
      </c>
      <c r="G431" s="6">
        <v>500</v>
      </c>
      <c r="H431" s="7">
        <v>0.41299999999999998</v>
      </c>
      <c r="I431" s="7">
        <v>175.42</v>
      </c>
    </row>
    <row r="432" spans="1:9" hidden="1" x14ac:dyDescent="0.2">
      <c r="A432" t="s">
        <v>18</v>
      </c>
      <c r="B432" s="4" t="s">
        <v>251</v>
      </c>
      <c r="C432" s="5">
        <v>45617</v>
      </c>
      <c r="D432" t="s">
        <v>35</v>
      </c>
      <c r="E432" t="s">
        <v>154</v>
      </c>
      <c r="F432" t="s">
        <v>237</v>
      </c>
      <c r="G432" s="6">
        <v>500</v>
      </c>
      <c r="H432" s="7">
        <v>0.114</v>
      </c>
      <c r="I432" s="7">
        <v>56.92</v>
      </c>
    </row>
    <row r="433" spans="1:9" hidden="1" x14ac:dyDescent="0.2">
      <c r="A433" t="s">
        <v>18</v>
      </c>
      <c r="B433" s="4" t="s">
        <v>252</v>
      </c>
      <c r="C433" s="5">
        <v>45615</v>
      </c>
      <c r="D433" t="s">
        <v>41</v>
      </c>
      <c r="E433" t="s">
        <v>133</v>
      </c>
      <c r="F433" t="s">
        <v>237</v>
      </c>
      <c r="G433" s="6">
        <v>187</v>
      </c>
      <c r="H433" s="7">
        <v>0.75</v>
      </c>
      <c r="I433" s="7">
        <v>140.25</v>
      </c>
    </row>
    <row r="434" spans="1:9" hidden="1" x14ac:dyDescent="0.2">
      <c r="A434" t="s">
        <v>18</v>
      </c>
      <c r="B434" s="4" t="s">
        <v>253</v>
      </c>
      <c r="C434" s="5">
        <v>45610</v>
      </c>
      <c r="D434" t="s">
        <v>41</v>
      </c>
      <c r="E434" t="s">
        <v>50</v>
      </c>
      <c r="F434" t="s">
        <v>237</v>
      </c>
      <c r="G434" s="6">
        <v>99</v>
      </c>
      <c r="H434" s="7">
        <v>1.1000000000000001</v>
      </c>
      <c r="I434" s="7">
        <v>108.9</v>
      </c>
    </row>
    <row r="435" spans="1:9" hidden="1" x14ac:dyDescent="0.2">
      <c r="A435" t="s">
        <v>18</v>
      </c>
      <c r="B435" s="4" t="s">
        <v>253</v>
      </c>
      <c r="C435" s="5">
        <v>45610</v>
      </c>
      <c r="D435" t="s">
        <v>41</v>
      </c>
      <c r="E435" t="s">
        <v>222</v>
      </c>
      <c r="F435" t="s">
        <v>237</v>
      </c>
      <c r="G435" s="6">
        <v>129</v>
      </c>
      <c r="H435" s="7">
        <v>0.9</v>
      </c>
      <c r="I435" s="7">
        <v>116.1</v>
      </c>
    </row>
    <row r="436" spans="1:9" hidden="1" x14ac:dyDescent="0.2">
      <c r="A436" t="s">
        <v>18</v>
      </c>
      <c r="B436" s="4" t="s">
        <v>253</v>
      </c>
      <c r="C436" s="5">
        <v>45610</v>
      </c>
      <c r="D436" t="s">
        <v>41</v>
      </c>
      <c r="E436" t="s">
        <v>186</v>
      </c>
      <c r="F436" t="s">
        <v>237</v>
      </c>
      <c r="G436" s="6">
        <v>153</v>
      </c>
      <c r="H436" s="7">
        <v>0.78</v>
      </c>
      <c r="I436" s="7">
        <v>119.34</v>
      </c>
    </row>
    <row r="437" spans="1:9" hidden="1" x14ac:dyDescent="0.2">
      <c r="A437" t="s">
        <v>18</v>
      </c>
      <c r="B437" s="4" t="s">
        <v>254</v>
      </c>
      <c r="C437" s="5">
        <v>45597</v>
      </c>
      <c r="D437" t="s">
        <v>24</v>
      </c>
      <c r="E437" t="s">
        <v>123</v>
      </c>
      <c r="F437" t="s">
        <v>237</v>
      </c>
      <c r="G437" s="6">
        <v>200</v>
      </c>
      <c r="H437" s="7">
        <v>1.7999999999999999E-2</v>
      </c>
      <c r="I437" s="7">
        <v>3.01</v>
      </c>
    </row>
    <row r="438" spans="1:9" hidden="1" x14ac:dyDescent="0.2">
      <c r="A438" t="s">
        <v>18</v>
      </c>
      <c r="B438" s="4" t="s">
        <v>255</v>
      </c>
      <c r="C438" s="5">
        <v>45582</v>
      </c>
      <c r="D438" t="s">
        <v>41</v>
      </c>
      <c r="E438" t="s">
        <v>114</v>
      </c>
      <c r="F438" t="s">
        <v>237</v>
      </c>
      <c r="G438" s="6">
        <v>188</v>
      </c>
      <c r="H438" s="7">
        <v>0.8</v>
      </c>
      <c r="I438" s="7">
        <v>150.4</v>
      </c>
    </row>
    <row r="439" spans="1:9" hidden="1" x14ac:dyDescent="0.2">
      <c r="A439" t="s">
        <v>18</v>
      </c>
      <c r="B439" s="4" t="s">
        <v>256</v>
      </c>
      <c r="C439" s="5">
        <v>45581</v>
      </c>
      <c r="D439" t="s">
        <v>41</v>
      </c>
      <c r="E439" t="s">
        <v>133</v>
      </c>
      <c r="F439" t="s">
        <v>237</v>
      </c>
      <c r="G439" s="6">
        <v>187</v>
      </c>
      <c r="H439" s="7">
        <v>0.8</v>
      </c>
      <c r="I439" s="7">
        <v>149.6</v>
      </c>
    </row>
    <row r="440" spans="1:9" hidden="1" x14ac:dyDescent="0.2">
      <c r="A440" t="s">
        <v>18</v>
      </c>
      <c r="B440" s="4" t="s">
        <v>257</v>
      </c>
      <c r="C440" s="5">
        <v>45579</v>
      </c>
      <c r="D440" t="s">
        <v>41</v>
      </c>
      <c r="E440" t="s">
        <v>50</v>
      </c>
      <c r="F440" t="s">
        <v>237</v>
      </c>
      <c r="G440" s="6">
        <v>99</v>
      </c>
      <c r="H440" s="7">
        <v>1.1000000000000001</v>
      </c>
      <c r="I440" s="7">
        <v>108.9</v>
      </c>
    </row>
    <row r="441" spans="1:9" hidden="1" x14ac:dyDescent="0.2">
      <c r="A441" t="s">
        <v>18</v>
      </c>
      <c r="B441" s="4" t="s">
        <v>257</v>
      </c>
      <c r="C441" s="5">
        <v>45579</v>
      </c>
      <c r="D441" t="s">
        <v>41</v>
      </c>
      <c r="E441" t="s">
        <v>222</v>
      </c>
      <c r="F441" t="s">
        <v>237</v>
      </c>
      <c r="G441" s="6">
        <v>129</v>
      </c>
      <c r="H441" s="7">
        <v>0.85</v>
      </c>
      <c r="I441" s="7">
        <v>109.65</v>
      </c>
    </row>
    <row r="442" spans="1:9" hidden="1" x14ac:dyDescent="0.2">
      <c r="A442" t="s">
        <v>18</v>
      </c>
      <c r="B442" s="4" t="s">
        <v>257</v>
      </c>
      <c r="C442" s="5">
        <v>45579</v>
      </c>
      <c r="D442" t="s">
        <v>41</v>
      </c>
      <c r="E442" t="s">
        <v>186</v>
      </c>
      <c r="F442" t="s">
        <v>237</v>
      </c>
      <c r="G442" s="6">
        <v>153</v>
      </c>
      <c r="H442" s="7">
        <v>0.78</v>
      </c>
      <c r="I442" s="7">
        <v>119.34</v>
      </c>
    </row>
    <row r="443" spans="1:9" hidden="1" x14ac:dyDescent="0.2">
      <c r="A443" t="s">
        <v>18</v>
      </c>
      <c r="B443" s="4" t="s">
        <v>258</v>
      </c>
      <c r="C443" s="5">
        <v>45572</v>
      </c>
      <c r="D443" t="s">
        <v>35</v>
      </c>
      <c r="E443" t="s">
        <v>63</v>
      </c>
      <c r="F443" t="s">
        <v>237</v>
      </c>
      <c r="G443" s="6">
        <v>700</v>
      </c>
      <c r="H443" s="7">
        <v>3.5000000000000003E-2</v>
      </c>
      <c r="I443" s="7">
        <v>24.65</v>
      </c>
    </row>
    <row r="444" spans="1:9" hidden="1" x14ac:dyDescent="0.2">
      <c r="A444" t="s">
        <v>18</v>
      </c>
      <c r="B444" s="4" t="s">
        <v>258</v>
      </c>
      <c r="C444" s="5">
        <v>45572</v>
      </c>
      <c r="D444" t="s">
        <v>24</v>
      </c>
      <c r="E444" t="s">
        <v>63</v>
      </c>
      <c r="F444" t="s">
        <v>237</v>
      </c>
      <c r="G444" s="6">
        <v>700</v>
      </c>
      <c r="H444" s="7">
        <v>0.06</v>
      </c>
      <c r="I444" s="7">
        <v>35.96</v>
      </c>
    </row>
    <row r="445" spans="1:9" hidden="1" x14ac:dyDescent="0.2">
      <c r="A445" t="s">
        <v>18</v>
      </c>
      <c r="B445" s="4" t="s">
        <v>259</v>
      </c>
      <c r="C445" s="5">
        <v>45567</v>
      </c>
      <c r="D445" t="s">
        <v>24</v>
      </c>
      <c r="E445" t="s">
        <v>57</v>
      </c>
      <c r="F445" t="s">
        <v>237</v>
      </c>
      <c r="G445" s="6">
        <v>830</v>
      </c>
      <c r="H445" s="7">
        <v>0.33700000000000002</v>
      </c>
      <c r="I445" s="7">
        <v>238.02</v>
      </c>
    </row>
    <row r="446" spans="1:9" hidden="1" x14ac:dyDescent="0.2">
      <c r="A446" t="s">
        <v>18</v>
      </c>
      <c r="B446" s="4" t="s">
        <v>260</v>
      </c>
      <c r="C446" s="5">
        <v>45566</v>
      </c>
      <c r="D446" t="s">
        <v>24</v>
      </c>
      <c r="E446" t="s">
        <v>123</v>
      </c>
      <c r="F446" t="s">
        <v>237</v>
      </c>
      <c r="G446" s="6">
        <v>200</v>
      </c>
      <c r="H446" s="7">
        <v>1.7999999999999999E-2</v>
      </c>
      <c r="I446" s="7">
        <v>3.01</v>
      </c>
    </row>
    <row r="447" spans="1:9" hidden="1" x14ac:dyDescent="0.2">
      <c r="A447" t="s">
        <v>18</v>
      </c>
      <c r="B447" s="4" t="s">
        <v>261</v>
      </c>
      <c r="C447" s="5">
        <v>45565</v>
      </c>
      <c r="D447" t="s">
        <v>24</v>
      </c>
      <c r="E447" t="s">
        <v>152</v>
      </c>
      <c r="F447" t="s">
        <v>237</v>
      </c>
      <c r="G447" s="6">
        <v>500</v>
      </c>
      <c r="H447" s="7">
        <v>3.6999999999999998E-2</v>
      </c>
      <c r="I447" s="7">
        <v>15.64</v>
      </c>
    </row>
    <row r="448" spans="1:9" hidden="1" x14ac:dyDescent="0.2">
      <c r="A448" t="s">
        <v>18</v>
      </c>
      <c r="B448" s="4" t="s">
        <v>262</v>
      </c>
      <c r="C448" s="5">
        <v>45562</v>
      </c>
      <c r="D448" t="s">
        <v>24</v>
      </c>
      <c r="E448" t="s">
        <v>107</v>
      </c>
      <c r="F448" t="s">
        <v>237</v>
      </c>
      <c r="G448" s="6">
        <v>700</v>
      </c>
      <c r="H448" s="7">
        <v>0.187</v>
      </c>
      <c r="I448" s="7">
        <v>111.03</v>
      </c>
    </row>
    <row r="449" spans="1:9" hidden="1" x14ac:dyDescent="0.2">
      <c r="A449" t="s">
        <v>18</v>
      </c>
      <c r="B449" s="4" t="s">
        <v>263</v>
      </c>
      <c r="C449" s="5">
        <v>45555</v>
      </c>
      <c r="D449" t="s">
        <v>35</v>
      </c>
      <c r="E449" t="s">
        <v>154</v>
      </c>
      <c r="F449" t="s">
        <v>237</v>
      </c>
      <c r="G449" s="6">
        <v>500</v>
      </c>
      <c r="H449" s="7">
        <v>0.44800000000000001</v>
      </c>
      <c r="I449" s="7">
        <v>224.03</v>
      </c>
    </row>
    <row r="450" spans="1:9" hidden="1" x14ac:dyDescent="0.2">
      <c r="A450" t="s">
        <v>18</v>
      </c>
      <c r="B450" s="4" t="s">
        <v>263</v>
      </c>
      <c r="C450" s="5">
        <v>45555</v>
      </c>
      <c r="D450" t="s">
        <v>24</v>
      </c>
      <c r="E450" t="s">
        <v>154</v>
      </c>
      <c r="F450" t="s">
        <v>237</v>
      </c>
      <c r="G450" s="6">
        <v>500</v>
      </c>
      <c r="H450" s="7">
        <v>7.3999999999999996E-2</v>
      </c>
      <c r="I450" s="7">
        <v>31.26</v>
      </c>
    </row>
    <row r="451" spans="1:9" hidden="1" x14ac:dyDescent="0.2">
      <c r="A451" t="s">
        <v>18</v>
      </c>
      <c r="B451" s="4" t="s">
        <v>264</v>
      </c>
      <c r="C451" s="5">
        <v>45553</v>
      </c>
      <c r="D451" t="s">
        <v>41</v>
      </c>
      <c r="E451" t="s">
        <v>114</v>
      </c>
      <c r="F451" t="s">
        <v>237</v>
      </c>
      <c r="G451" s="6">
        <v>188</v>
      </c>
      <c r="H451" s="7">
        <v>0.8</v>
      </c>
      <c r="I451" s="7">
        <v>150.4</v>
      </c>
    </row>
    <row r="452" spans="1:9" hidden="1" x14ac:dyDescent="0.2">
      <c r="A452" t="s">
        <v>18</v>
      </c>
      <c r="B452" s="4" t="s">
        <v>265</v>
      </c>
      <c r="C452" s="5">
        <v>45552</v>
      </c>
      <c r="D452" t="s">
        <v>41</v>
      </c>
      <c r="E452" t="s">
        <v>133</v>
      </c>
      <c r="F452" t="s">
        <v>237</v>
      </c>
      <c r="G452" s="6">
        <v>187</v>
      </c>
      <c r="H452" s="7">
        <v>0.7</v>
      </c>
      <c r="I452" s="7">
        <v>130.9</v>
      </c>
    </row>
    <row r="453" spans="1:9" hidden="1" x14ac:dyDescent="0.2">
      <c r="A453" t="s">
        <v>18</v>
      </c>
      <c r="B453" s="4" t="s">
        <v>266</v>
      </c>
      <c r="C453" s="5">
        <v>45548</v>
      </c>
      <c r="D453" t="s">
        <v>41</v>
      </c>
      <c r="E453" t="s">
        <v>50</v>
      </c>
      <c r="F453" t="s">
        <v>237</v>
      </c>
      <c r="G453" s="6">
        <v>99</v>
      </c>
      <c r="H453" s="7">
        <v>1.1000000000000001</v>
      </c>
      <c r="I453" s="7">
        <v>108.9</v>
      </c>
    </row>
    <row r="454" spans="1:9" hidden="1" x14ac:dyDescent="0.2">
      <c r="A454" t="s">
        <v>18</v>
      </c>
      <c r="B454" s="4" t="s">
        <v>266</v>
      </c>
      <c r="C454" s="5">
        <v>45548</v>
      </c>
      <c r="D454" t="s">
        <v>41</v>
      </c>
      <c r="E454" t="s">
        <v>222</v>
      </c>
      <c r="F454" t="s">
        <v>237</v>
      </c>
      <c r="G454" s="6">
        <v>129</v>
      </c>
      <c r="H454" s="7">
        <v>0.85</v>
      </c>
      <c r="I454" s="7">
        <v>109.65</v>
      </c>
    </row>
    <row r="455" spans="1:9" hidden="1" x14ac:dyDescent="0.2">
      <c r="A455" t="s">
        <v>18</v>
      </c>
      <c r="B455" s="4" t="s">
        <v>266</v>
      </c>
      <c r="C455" s="5">
        <v>45548</v>
      </c>
      <c r="D455" t="s">
        <v>41</v>
      </c>
      <c r="E455" t="s">
        <v>186</v>
      </c>
      <c r="F455" t="s">
        <v>237</v>
      </c>
      <c r="G455" s="6">
        <v>153</v>
      </c>
      <c r="H455" s="7">
        <v>0.78</v>
      </c>
      <c r="I455" s="7">
        <v>119.34</v>
      </c>
    </row>
    <row r="456" spans="1:9" hidden="1" x14ac:dyDescent="0.2">
      <c r="A456" s="1" t="s">
        <v>18</v>
      </c>
      <c r="B456" s="8" t="s">
        <v>266</v>
      </c>
      <c r="C456" s="9">
        <v>45548</v>
      </c>
      <c r="D456" s="1" t="s">
        <v>31</v>
      </c>
      <c r="E456" s="1" t="s">
        <v>172</v>
      </c>
      <c r="F456" s="1" t="s">
        <v>237</v>
      </c>
      <c r="G456" s="10">
        <v>110</v>
      </c>
      <c r="H456" s="11" t="s">
        <v>17</v>
      </c>
      <c r="I456" s="11" t="s">
        <v>17</v>
      </c>
    </row>
    <row r="457" spans="1:9" hidden="1" x14ac:dyDescent="0.2">
      <c r="A457" t="s">
        <v>18</v>
      </c>
      <c r="B457" s="4" t="s">
        <v>267</v>
      </c>
      <c r="C457" s="5">
        <v>45539</v>
      </c>
      <c r="D457" t="s">
        <v>24</v>
      </c>
      <c r="E457" t="s">
        <v>76</v>
      </c>
      <c r="F457" t="s">
        <v>237</v>
      </c>
      <c r="G457" s="6">
        <v>200</v>
      </c>
      <c r="H457" s="7">
        <v>2.0939999999999999</v>
      </c>
      <c r="I457" s="7">
        <v>355.94</v>
      </c>
    </row>
    <row r="458" spans="1:9" hidden="1" x14ac:dyDescent="0.2">
      <c r="A458" t="s">
        <v>18</v>
      </c>
      <c r="B458" s="4" t="s">
        <v>268</v>
      </c>
      <c r="C458" s="5">
        <v>45537</v>
      </c>
      <c r="D458" t="s">
        <v>24</v>
      </c>
      <c r="E458" t="s">
        <v>123</v>
      </c>
      <c r="F458" t="s">
        <v>237</v>
      </c>
      <c r="G458" s="6">
        <v>200</v>
      </c>
      <c r="H458" s="7">
        <v>1.7999999999999999E-2</v>
      </c>
      <c r="I458" s="7">
        <v>3.01</v>
      </c>
    </row>
    <row r="459" spans="1:9" hidden="1" x14ac:dyDescent="0.2">
      <c r="A459" t="s">
        <v>18</v>
      </c>
      <c r="B459" s="4" t="s">
        <v>269</v>
      </c>
      <c r="C459" s="5">
        <v>45534</v>
      </c>
      <c r="D459" t="s">
        <v>41</v>
      </c>
      <c r="E459" t="s">
        <v>107</v>
      </c>
      <c r="F459" t="s">
        <v>237</v>
      </c>
      <c r="G459" s="6">
        <v>700</v>
      </c>
      <c r="H459" s="7">
        <v>3.0000000000000001E-3</v>
      </c>
      <c r="I459" s="7">
        <v>1.47</v>
      </c>
    </row>
    <row r="460" spans="1:9" hidden="1" x14ac:dyDescent="0.2">
      <c r="A460" t="s">
        <v>18</v>
      </c>
      <c r="B460" s="4" t="s">
        <v>269</v>
      </c>
      <c r="C460" s="5">
        <v>45534</v>
      </c>
      <c r="D460" t="s">
        <v>24</v>
      </c>
      <c r="E460" t="s">
        <v>107</v>
      </c>
      <c r="F460" t="s">
        <v>237</v>
      </c>
      <c r="G460" s="6">
        <v>700</v>
      </c>
      <c r="H460" s="7">
        <v>0.314</v>
      </c>
      <c r="I460" s="7">
        <v>187.12</v>
      </c>
    </row>
    <row r="461" spans="1:9" hidden="1" x14ac:dyDescent="0.2">
      <c r="A461" t="s">
        <v>18</v>
      </c>
      <c r="B461" s="4" t="s">
        <v>269</v>
      </c>
      <c r="C461" s="5">
        <v>45534</v>
      </c>
      <c r="D461" t="s">
        <v>41</v>
      </c>
      <c r="E461" t="s">
        <v>107</v>
      </c>
      <c r="F461" t="s">
        <v>237</v>
      </c>
      <c r="G461" s="6">
        <v>700</v>
      </c>
      <c r="H461" s="7">
        <v>6.0000000000000001E-3</v>
      </c>
      <c r="I461" s="7">
        <v>3.04</v>
      </c>
    </row>
    <row r="462" spans="1:9" hidden="1" x14ac:dyDescent="0.2">
      <c r="A462" t="s">
        <v>18</v>
      </c>
      <c r="B462" s="4" t="s">
        <v>269</v>
      </c>
      <c r="C462" s="5">
        <v>45534</v>
      </c>
      <c r="D462" t="s">
        <v>35</v>
      </c>
      <c r="E462" t="s">
        <v>107</v>
      </c>
      <c r="F462" t="s">
        <v>237</v>
      </c>
      <c r="G462" s="6">
        <v>700</v>
      </c>
      <c r="H462" s="7">
        <v>0.152</v>
      </c>
      <c r="I462" s="7">
        <v>106.3</v>
      </c>
    </row>
    <row r="463" spans="1:9" hidden="1" x14ac:dyDescent="0.2">
      <c r="A463" t="s">
        <v>18</v>
      </c>
      <c r="B463" s="4" t="s">
        <v>269</v>
      </c>
      <c r="C463" s="5">
        <v>45534</v>
      </c>
      <c r="D463" t="s">
        <v>24</v>
      </c>
      <c r="E463" t="s">
        <v>123</v>
      </c>
      <c r="F463" t="s">
        <v>237</v>
      </c>
      <c r="G463" s="6">
        <v>200</v>
      </c>
      <c r="H463" s="7">
        <v>0.251</v>
      </c>
      <c r="I463" s="7">
        <v>42.67</v>
      </c>
    </row>
    <row r="464" spans="1:9" hidden="1" x14ac:dyDescent="0.2">
      <c r="A464" t="s">
        <v>18</v>
      </c>
      <c r="B464" s="4" t="s">
        <v>270</v>
      </c>
      <c r="C464" s="5">
        <v>45524</v>
      </c>
      <c r="D464" t="s">
        <v>24</v>
      </c>
      <c r="E464" t="s">
        <v>154</v>
      </c>
      <c r="F464" t="s">
        <v>237</v>
      </c>
      <c r="G464" s="6">
        <v>500</v>
      </c>
      <c r="H464" s="7">
        <v>0.52200000000000002</v>
      </c>
      <c r="I464" s="7">
        <v>221.69</v>
      </c>
    </row>
    <row r="465" spans="1:9" hidden="1" x14ac:dyDescent="0.2">
      <c r="A465" t="s">
        <v>18</v>
      </c>
      <c r="B465" s="4" t="s">
        <v>271</v>
      </c>
      <c r="C465" s="5">
        <v>45523</v>
      </c>
      <c r="D465" t="s">
        <v>41</v>
      </c>
      <c r="E465" t="s">
        <v>114</v>
      </c>
      <c r="F465" t="s">
        <v>272</v>
      </c>
      <c r="G465" s="6">
        <v>188</v>
      </c>
      <c r="H465" s="7">
        <v>0.8</v>
      </c>
      <c r="I465" s="7">
        <v>150.4</v>
      </c>
    </row>
    <row r="466" spans="1:9" hidden="1" x14ac:dyDescent="0.2">
      <c r="A466" t="s">
        <v>18</v>
      </c>
      <c r="B466" s="4" t="s">
        <v>273</v>
      </c>
      <c r="C466" s="5">
        <v>45520</v>
      </c>
      <c r="D466" t="s">
        <v>41</v>
      </c>
      <c r="E466" t="s">
        <v>133</v>
      </c>
      <c r="F466" t="s">
        <v>237</v>
      </c>
      <c r="G466" s="6">
        <v>187</v>
      </c>
      <c r="H466" s="7">
        <v>0.74</v>
      </c>
      <c r="I466" s="7">
        <v>138.38</v>
      </c>
    </row>
    <row r="467" spans="1:9" hidden="1" x14ac:dyDescent="0.2">
      <c r="A467" t="s">
        <v>18</v>
      </c>
      <c r="B467" s="4" t="s">
        <v>273</v>
      </c>
      <c r="C467" s="5">
        <v>45520</v>
      </c>
      <c r="D467" t="s">
        <v>98</v>
      </c>
      <c r="E467" t="s">
        <v>226</v>
      </c>
      <c r="F467" t="s">
        <v>272</v>
      </c>
      <c r="G467" s="6">
        <v>19.260000000000002</v>
      </c>
      <c r="H467" s="7">
        <v>1297.92</v>
      </c>
      <c r="I467" s="7">
        <v>24997.94</v>
      </c>
    </row>
    <row r="468" spans="1:9" hidden="1" x14ac:dyDescent="0.2">
      <c r="A468" t="s">
        <v>18</v>
      </c>
      <c r="B468" s="4" t="s">
        <v>273</v>
      </c>
      <c r="C468" s="5">
        <v>45520</v>
      </c>
      <c r="D468" t="s">
        <v>98</v>
      </c>
      <c r="E468" t="s">
        <v>228</v>
      </c>
      <c r="F468" t="s">
        <v>272</v>
      </c>
      <c r="G468" s="6">
        <v>20.04</v>
      </c>
      <c r="H468" s="7">
        <v>499.02</v>
      </c>
      <c r="I468" s="7">
        <v>10000.56</v>
      </c>
    </row>
    <row r="469" spans="1:9" hidden="1" x14ac:dyDescent="0.2">
      <c r="A469" t="s">
        <v>18</v>
      </c>
      <c r="B469" s="4" t="s">
        <v>274</v>
      </c>
      <c r="C469" s="5">
        <v>45518</v>
      </c>
      <c r="D469" t="s">
        <v>41</v>
      </c>
      <c r="E469" t="s">
        <v>50</v>
      </c>
      <c r="F469" t="s">
        <v>272</v>
      </c>
      <c r="G469" s="6">
        <v>99</v>
      </c>
      <c r="H469" s="7">
        <v>1.1000000000000001</v>
      </c>
      <c r="I469" s="7">
        <v>108.9</v>
      </c>
    </row>
    <row r="470" spans="1:9" hidden="1" x14ac:dyDescent="0.2">
      <c r="A470" t="s">
        <v>18</v>
      </c>
      <c r="B470" s="4" t="s">
        <v>274</v>
      </c>
      <c r="C470" s="5">
        <v>45518</v>
      </c>
      <c r="D470" t="s">
        <v>41</v>
      </c>
      <c r="E470" t="s">
        <v>222</v>
      </c>
      <c r="F470" t="s">
        <v>272</v>
      </c>
      <c r="G470" s="6">
        <v>129</v>
      </c>
      <c r="H470" s="7">
        <v>0.85</v>
      </c>
      <c r="I470" s="7">
        <v>109.65</v>
      </c>
    </row>
    <row r="471" spans="1:9" hidden="1" x14ac:dyDescent="0.2">
      <c r="A471" t="s">
        <v>18</v>
      </c>
      <c r="B471" s="4" t="s">
        <v>274</v>
      </c>
      <c r="C471" s="5">
        <v>45518</v>
      </c>
      <c r="D471" t="s">
        <v>41</v>
      </c>
      <c r="E471" t="s">
        <v>186</v>
      </c>
      <c r="F471" t="s">
        <v>272</v>
      </c>
      <c r="G471" s="6">
        <v>153</v>
      </c>
      <c r="H471" s="7">
        <v>0.8</v>
      </c>
      <c r="I471" s="7">
        <v>122.4</v>
      </c>
    </row>
    <row r="472" spans="1:9" hidden="1" x14ac:dyDescent="0.2">
      <c r="A472" t="s">
        <v>18</v>
      </c>
      <c r="B472" s="4" t="s">
        <v>274</v>
      </c>
      <c r="C472" s="5">
        <v>45518</v>
      </c>
      <c r="D472" t="s">
        <v>24</v>
      </c>
      <c r="E472" t="s">
        <v>129</v>
      </c>
      <c r="F472" t="s">
        <v>272</v>
      </c>
      <c r="G472" s="6">
        <v>800</v>
      </c>
      <c r="H472" s="7">
        <v>6.3E-2</v>
      </c>
      <c r="I472" s="7">
        <v>42.68</v>
      </c>
    </row>
    <row r="473" spans="1:9" hidden="1" x14ac:dyDescent="0.2">
      <c r="A473" t="s">
        <v>18</v>
      </c>
      <c r="B473" s="4" t="s">
        <v>274</v>
      </c>
      <c r="C473" s="5">
        <v>45518</v>
      </c>
      <c r="D473" t="s">
        <v>35</v>
      </c>
      <c r="E473" t="s">
        <v>129</v>
      </c>
      <c r="F473" t="s">
        <v>272</v>
      </c>
      <c r="G473" s="6">
        <v>800</v>
      </c>
      <c r="H473" s="7">
        <v>0.188</v>
      </c>
      <c r="I473" s="7">
        <v>150.04</v>
      </c>
    </row>
    <row r="474" spans="1:9" hidden="1" x14ac:dyDescent="0.2">
      <c r="A474" t="s">
        <v>18</v>
      </c>
      <c r="B474" s="4" t="s">
        <v>274</v>
      </c>
      <c r="C474" s="5">
        <v>45518</v>
      </c>
      <c r="D474" t="s">
        <v>24</v>
      </c>
      <c r="E474" t="s">
        <v>129</v>
      </c>
      <c r="F474" t="s">
        <v>272</v>
      </c>
      <c r="G474" s="6">
        <v>800</v>
      </c>
      <c r="H474" s="7">
        <v>5.8000000000000003E-2</v>
      </c>
      <c r="I474" s="7">
        <v>39.28</v>
      </c>
    </row>
    <row r="475" spans="1:9" x14ac:dyDescent="0.2">
      <c r="A475" t="s">
        <v>8</v>
      </c>
      <c r="B475" s="4" t="s">
        <v>275</v>
      </c>
      <c r="C475" s="5">
        <v>45517</v>
      </c>
      <c r="D475" t="s">
        <v>14</v>
      </c>
      <c r="E475" t="s">
        <v>276</v>
      </c>
      <c r="F475" t="s">
        <v>237</v>
      </c>
      <c r="G475" s="6">
        <v>0</v>
      </c>
      <c r="H475" s="7" t="s">
        <v>17</v>
      </c>
      <c r="I475" s="7" t="s">
        <v>17</v>
      </c>
    </row>
    <row r="476" spans="1:9" hidden="1" x14ac:dyDescent="0.2">
      <c r="A476" t="s">
        <v>18</v>
      </c>
      <c r="B476" s="4" t="s">
        <v>277</v>
      </c>
      <c r="C476" s="5">
        <v>45516</v>
      </c>
      <c r="D476" t="s">
        <v>20</v>
      </c>
      <c r="E476" t="s">
        <v>276</v>
      </c>
      <c r="F476" t="s">
        <v>272</v>
      </c>
      <c r="G476" s="6">
        <v>68</v>
      </c>
      <c r="H476" s="7" t="s">
        <v>17</v>
      </c>
      <c r="I476" s="7" t="s">
        <v>17</v>
      </c>
    </row>
    <row r="477" spans="1:9" hidden="1" x14ac:dyDescent="0.2">
      <c r="A477" t="s">
        <v>8</v>
      </c>
      <c r="B477" s="4" t="s">
        <v>277</v>
      </c>
      <c r="C477" s="5">
        <v>45516</v>
      </c>
      <c r="D477" t="s">
        <v>21</v>
      </c>
      <c r="E477" t="s">
        <v>276</v>
      </c>
      <c r="F477" t="s">
        <v>272</v>
      </c>
      <c r="G477" s="6">
        <v>68</v>
      </c>
      <c r="H477" s="7" t="s">
        <v>17</v>
      </c>
      <c r="I477" s="7" t="s">
        <v>17</v>
      </c>
    </row>
    <row r="478" spans="1:9" hidden="1" x14ac:dyDescent="0.2">
      <c r="A478" t="s">
        <v>18</v>
      </c>
      <c r="B478" s="4" t="s">
        <v>278</v>
      </c>
      <c r="C478" s="5">
        <v>45505</v>
      </c>
      <c r="D478" t="s">
        <v>24</v>
      </c>
      <c r="E478" t="s">
        <v>123</v>
      </c>
      <c r="F478" t="s">
        <v>272</v>
      </c>
      <c r="G478" s="6">
        <v>200</v>
      </c>
      <c r="H478" s="7">
        <v>1.7999999999999999E-2</v>
      </c>
      <c r="I478" s="7">
        <v>3.01</v>
      </c>
    </row>
    <row r="479" spans="1:9" x14ac:dyDescent="0.2">
      <c r="A479" t="s">
        <v>18</v>
      </c>
      <c r="B479" s="4" t="s">
        <v>279</v>
      </c>
      <c r="C479" s="5">
        <v>45503</v>
      </c>
      <c r="D479" t="s">
        <v>28</v>
      </c>
      <c r="E479" t="s">
        <v>276</v>
      </c>
      <c r="F479" t="s">
        <v>272</v>
      </c>
      <c r="G479" s="6">
        <v>68</v>
      </c>
      <c r="H479" s="7" t="s">
        <v>17</v>
      </c>
      <c r="I479" s="7" t="s">
        <v>17</v>
      </c>
    </row>
    <row r="480" spans="1:9" hidden="1" x14ac:dyDescent="0.2">
      <c r="A480" t="s">
        <v>18</v>
      </c>
      <c r="B480" s="4" t="s">
        <v>280</v>
      </c>
      <c r="C480" s="5">
        <v>45499</v>
      </c>
      <c r="D480" t="s">
        <v>24</v>
      </c>
      <c r="E480" t="s">
        <v>44</v>
      </c>
      <c r="F480" t="s">
        <v>272</v>
      </c>
      <c r="G480" s="6">
        <v>300</v>
      </c>
      <c r="H480" s="7">
        <v>0.17799999999999999</v>
      </c>
      <c r="I480" s="7">
        <v>45.32</v>
      </c>
    </row>
    <row r="481" spans="1:9" hidden="1" x14ac:dyDescent="0.2">
      <c r="A481" t="s">
        <v>18</v>
      </c>
      <c r="B481" s="4" t="s">
        <v>280</v>
      </c>
      <c r="C481" s="5">
        <v>45499</v>
      </c>
      <c r="D481" t="s">
        <v>35</v>
      </c>
      <c r="E481" t="s">
        <v>44</v>
      </c>
      <c r="F481" t="s">
        <v>272</v>
      </c>
      <c r="G481" s="6">
        <v>300</v>
      </c>
      <c r="H481" s="7">
        <v>1.2190000000000001</v>
      </c>
      <c r="I481" s="7">
        <v>365.64</v>
      </c>
    </row>
    <row r="482" spans="1:9" hidden="1" x14ac:dyDescent="0.2">
      <c r="A482" t="s">
        <v>18</v>
      </c>
      <c r="B482" s="4" t="s">
        <v>281</v>
      </c>
      <c r="C482" s="5">
        <v>45490</v>
      </c>
      <c r="D482" t="s">
        <v>41</v>
      </c>
      <c r="E482" t="s">
        <v>114</v>
      </c>
      <c r="F482" t="s">
        <v>272</v>
      </c>
      <c r="G482" s="6">
        <v>188</v>
      </c>
      <c r="H482" s="7">
        <v>0.8</v>
      </c>
      <c r="I482" s="7">
        <v>150.4</v>
      </c>
    </row>
    <row r="483" spans="1:9" hidden="1" x14ac:dyDescent="0.2">
      <c r="A483" t="s">
        <v>18</v>
      </c>
      <c r="B483" s="4" t="s">
        <v>282</v>
      </c>
      <c r="C483" s="5">
        <v>45489</v>
      </c>
      <c r="D483" t="s">
        <v>41</v>
      </c>
      <c r="E483" t="s">
        <v>133</v>
      </c>
      <c r="F483" t="s">
        <v>272</v>
      </c>
      <c r="G483" s="6">
        <v>187</v>
      </c>
      <c r="H483" s="7">
        <v>0.74</v>
      </c>
      <c r="I483" s="7">
        <v>138.38</v>
      </c>
    </row>
    <row r="484" spans="1:9" hidden="1" x14ac:dyDescent="0.2">
      <c r="A484" t="s">
        <v>18</v>
      </c>
      <c r="B484" s="4" t="s">
        <v>283</v>
      </c>
      <c r="C484" s="5">
        <v>45485</v>
      </c>
      <c r="D484" t="s">
        <v>41</v>
      </c>
      <c r="E484" t="s">
        <v>284</v>
      </c>
      <c r="F484" t="s">
        <v>272</v>
      </c>
      <c r="G484" s="6">
        <v>99</v>
      </c>
      <c r="H484" s="7">
        <v>1.1000000000000001</v>
      </c>
      <c r="I484" s="7">
        <v>108.9</v>
      </c>
    </row>
    <row r="485" spans="1:9" hidden="1" x14ac:dyDescent="0.2">
      <c r="A485" t="s">
        <v>18</v>
      </c>
      <c r="B485" s="4" t="s">
        <v>283</v>
      </c>
      <c r="C485" s="5">
        <v>45485</v>
      </c>
      <c r="D485" t="s">
        <v>41</v>
      </c>
      <c r="E485" t="s">
        <v>222</v>
      </c>
      <c r="F485" t="s">
        <v>272</v>
      </c>
      <c r="G485" s="6">
        <v>129</v>
      </c>
      <c r="H485" s="7">
        <v>1.25</v>
      </c>
      <c r="I485" s="7">
        <v>161.25</v>
      </c>
    </row>
    <row r="486" spans="1:9" hidden="1" x14ac:dyDescent="0.2">
      <c r="A486" t="s">
        <v>18</v>
      </c>
      <c r="B486" s="4" t="s">
        <v>283</v>
      </c>
      <c r="C486" s="5">
        <v>45485</v>
      </c>
      <c r="D486" t="s">
        <v>41</v>
      </c>
      <c r="E486" t="s">
        <v>186</v>
      </c>
      <c r="F486" t="s">
        <v>272</v>
      </c>
      <c r="G486" s="6">
        <v>153</v>
      </c>
      <c r="H486" s="7">
        <v>0.8</v>
      </c>
      <c r="I486" s="7">
        <v>122.4</v>
      </c>
    </row>
    <row r="487" spans="1:9" hidden="1" x14ac:dyDescent="0.2">
      <c r="A487" t="s">
        <v>18</v>
      </c>
      <c r="B487" s="4" t="s">
        <v>285</v>
      </c>
      <c r="C487" s="5">
        <v>45478</v>
      </c>
      <c r="D487" t="s">
        <v>24</v>
      </c>
      <c r="E487" t="s">
        <v>63</v>
      </c>
      <c r="F487" t="s">
        <v>272</v>
      </c>
      <c r="G487" s="6">
        <v>700</v>
      </c>
      <c r="H487" s="7">
        <v>5.0999999999999997E-2</v>
      </c>
      <c r="I487" s="7">
        <v>30.52</v>
      </c>
    </row>
    <row r="488" spans="1:9" hidden="1" x14ac:dyDescent="0.2">
      <c r="A488" t="s">
        <v>18</v>
      </c>
      <c r="B488" s="4" t="s">
        <v>285</v>
      </c>
      <c r="C488" s="5">
        <v>45478</v>
      </c>
      <c r="D488" t="s">
        <v>35</v>
      </c>
      <c r="E488" t="s">
        <v>63</v>
      </c>
      <c r="F488" t="s">
        <v>272</v>
      </c>
      <c r="G488" s="6">
        <v>700</v>
      </c>
      <c r="H488" s="7">
        <v>3.5000000000000003E-2</v>
      </c>
      <c r="I488" s="7">
        <v>24.36</v>
      </c>
    </row>
    <row r="489" spans="1:9" hidden="1" x14ac:dyDescent="0.2">
      <c r="A489" t="s">
        <v>18</v>
      </c>
      <c r="B489" s="4" t="s">
        <v>286</v>
      </c>
      <c r="C489" s="5">
        <v>45474</v>
      </c>
      <c r="D489" t="s">
        <v>24</v>
      </c>
      <c r="E489" t="s">
        <v>123</v>
      </c>
      <c r="F489" t="s">
        <v>272</v>
      </c>
      <c r="G489" s="6">
        <v>200</v>
      </c>
      <c r="H489" s="7">
        <v>1.7999999999999999E-2</v>
      </c>
      <c r="I489" s="7">
        <v>3.01</v>
      </c>
    </row>
    <row r="490" spans="1:9" hidden="1" x14ac:dyDescent="0.2">
      <c r="A490" t="s">
        <v>8</v>
      </c>
      <c r="B490" s="4" t="s">
        <v>286</v>
      </c>
      <c r="C490" s="5">
        <v>45474</v>
      </c>
      <c r="D490" t="s">
        <v>287</v>
      </c>
      <c r="E490" t="s">
        <v>226</v>
      </c>
      <c r="F490" t="s">
        <v>272</v>
      </c>
      <c r="G490" s="6">
        <v>0</v>
      </c>
      <c r="H490" s="7" t="s">
        <v>17</v>
      </c>
      <c r="I490" s="7">
        <v>12.31</v>
      </c>
    </row>
    <row r="491" spans="1:9" hidden="1" x14ac:dyDescent="0.2">
      <c r="A491" t="s">
        <v>8</v>
      </c>
      <c r="B491" s="4" t="s">
        <v>286</v>
      </c>
      <c r="C491" s="5">
        <v>45474</v>
      </c>
      <c r="D491" t="s">
        <v>287</v>
      </c>
      <c r="E491" t="s">
        <v>227</v>
      </c>
      <c r="F491" t="s">
        <v>272</v>
      </c>
      <c r="G491" s="6">
        <v>0</v>
      </c>
      <c r="H491" s="7" t="s">
        <v>17</v>
      </c>
      <c r="I491" s="7">
        <v>13.35</v>
      </c>
    </row>
    <row r="492" spans="1:9" hidden="1" x14ac:dyDescent="0.2">
      <c r="A492" t="s">
        <v>18</v>
      </c>
      <c r="B492" s="4" t="s">
        <v>288</v>
      </c>
      <c r="C492" s="5">
        <v>45471</v>
      </c>
      <c r="D492" t="s">
        <v>24</v>
      </c>
      <c r="E492" t="s">
        <v>107</v>
      </c>
      <c r="F492" t="s">
        <v>272</v>
      </c>
      <c r="G492" s="6">
        <v>700</v>
      </c>
      <c r="H492" s="7">
        <v>0.20399999999999999</v>
      </c>
      <c r="I492" s="7">
        <v>121.52</v>
      </c>
    </row>
    <row r="493" spans="1:9" hidden="1" x14ac:dyDescent="0.2">
      <c r="A493" t="s">
        <v>18</v>
      </c>
      <c r="B493" s="4" t="s">
        <v>288</v>
      </c>
      <c r="C493" s="5">
        <v>45471</v>
      </c>
      <c r="D493" t="s">
        <v>24</v>
      </c>
      <c r="E493" t="s">
        <v>289</v>
      </c>
      <c r="F493" t="s">
        <v>272</v>
      </c>
      <c r="G493" s="6">
        <v>550</v>
      </c>
      <c r="H493" s="7">
        <v>0.44700000000000001</v>
      </c>
      <c r="I493" s="7">
        <v>209.12</v>
      </c>
    </row>
    <row r="494" spans="1:9" hidden="1" x14ac:dyDescent="0.2">
      <c r="A494" t="s">
        <v>18</v>
      </c>
      <c r="B494" s="4" t="s">
        <v>290</v>
      </c>
      <c r="C494" s="5">
        <v>45470</v>
      </c>
      <c r="D494" t="s">
        <v>24</v>
      </c>
      <c r="E494" t="s">
        <v>37</v>
      </c>
      <c r="F494" t="s">
        <v>272</v>
      </c>
      <c r="G494" s="6">
        <v>700</v>
      </c>
      <c r="H494" s="7">
        <v>0.42099999999999999</v>
      </c>
      <c r="I494" s="7">
        <v>250.25</v>
      </c>
    </row>
    <row r="495" spans="1:9" hidden="1" x14ac:dyDescent="0.2">
      <c r="A495" t="s">
        <v>18</v>
      </c>
      <c r="B495" s="4" t="s">
        <v>291</v>
      </c>
      <c r="C495" s="5">
        <v>45464</v>
      </c>
      <c r="D495" t="s">
        <v>24</v>
      </c>
      <c r="E495" t="s">
        <v>107</v>
      </c>
      <c r="F495" t="s">
        <v>272</v>
      </c>
      <c r="G495" s="6">
        <v>700</v>
      </c>
      <c r="H495" s="7">
        <v>0.29299999999999998</v>
      </c>
      <c r="I495" s="7">
        <v>174.43</v>
      </c>
    </row>
    <row r="496" spans="1:9" hidden="1" x14ac:dyDescent="0.2">
      <c r="A496" t="s">
        <v>18</v>
      </c>
      <c r="B496" s="4" t="s">
        <v>291</v>
      </c>
      <c r="C496" s="5">
        <v>45464</v>
      </c>
      <c r="D496" t="s">
        <v>35</v>
      </c>
      <c r="E496" t="s">
        <v>107</v>
      </c>
      <c r="F496" t="s">
        <v>272</v>
      </c>
      <c r="G496" s="6">
        <v>700</v>
      </c>
      <c r="H496" s="7">
        <v>0.16500000000000001</v>
      </c>
      <c r="I496" s="7">
        <v>115.34</v>
      </c>
    </row>
    <row r="497" spans="1:9" hidden="1" x14ac:dyDescent="0.2">
      <c r="A497" t="s">
        <v>18</v>
      </c>
      <c r="B497" s="4" t="s">
        <v>292</v>
      </c>
      <c r="C497" s="5">
        <v>45463</v>
      </c>
      <c r="D497" t="s">
        <v>41</v>
      </c>
      <c r="E497" t="s">
        <v>154</v>
      </c>
      <c r="F497" t="s">
        <v>272</v>
      </c>
      <c r="G497" s="6">
        <v>500</v>
      </c>
      <c r="H497" s="7">
        <v>2.7E-2</v>
      </c>
      <c r="I497" s="7">
        <v>10.59</v>
      </c>
    </row>
    <row r="498" spans="1:9" hidden="1" x14ac:dyDescent="0.2">
      <c r="A498" t="s">
        <v>18</v>
      </c>
      <c r="B498" s="4" t="s">
        <v>292</v>
      </c>
      <c r="C498" s="5">
        <v>45463</v>
      </c>
      <c r="D498" t="s">
        <v>35</v>
      </c>
      <c r="E498" t="s">
        <v>154</v>
      </c>
      <c r="F498" t="s">
        <v>272</v>
      </c>
      <c r="G498" s="6">
        <v>500</v>
      </c>
      <c r="H498" s="7">
        <v>0.55000000000000004</v>
      </c>
      <c r="I498" s="7">
        <v>275.07</v>
      </c>
    </row>
    <row r="499" spans="1:9" hidden="1" x14ac:dyDescent="0.2">
      <c r="A499" t="s">
        <v>18</v>
      </c>
      <c r="B499" s="4" t="s">
        <v>292</v>
      </c>
      <c r="C499" s="5">
        <v>45463</v>
      </c>
      <c r="D499" t="s">
        <v>41</v>
      </c>
      <c r="E499" t="s">
        <v>154</v>
      </c>
      <c r="F499" t="s">
        <v>272</v>
      </c>
      <c r="G499" s="6">
        <v>500</v>
      </c>
      <c r="H499" s="7">
        <v>4.2000000000000003E-2</v>
      </c>
      <c r="I499" s="7">
        <v>16.36</v>
      </c>
    </row>
    <row r="500" spans="1:9" hidden="1" x14ac:dyDescent="0.2">
      <c r="A500" t="s">
        <v>18</v>
      </c>
      <c r="B500" s="4" t="s">
        <v>292</v>
      </c>
      <c r="C500" s="5">
        <v>45463</v>
      </c>
      <c r="D500" t="s">
        <v>35</v>
      </c>
      <c r="E500" t="s">
        <v>154</v>
      </c>
      <c r="F500" t="s">
        <v>272</v>
      </c>
      <c r="G500" s="6">
        <v>500</v>
      </c>
      <c r="H500" s="7">
        <v>0.85</v>
      </c>
      <c r="I500" s="7">
        <v>424.81</v>
      </c>
    </row>
    <row r="501" spans="1:9" hidden="1" x14ac:dyDescent="0.2">
      <c r="A501" t="s">
        <v>18</v>
      </c>
      <c r="B501" s="4" t="s">
        <v>293</v>
      </c>
      <c r="C501" s="5">
        <v>45462</v>
      </c>
      <c r="D501" t="s">
        <v>41</v>
      </c>
      <c r="E501" t="s">
        <v>114</v>
      </c>
      <c r="F501" t="s">
        <v>272</v>
      </c>
      <c r="G501" s="6">
        <v>188</v>
      </c>
      <c r="H501" s="7">
        <v>0.8</v>
      </c>
      <c r="I501" s="7">
        <v>150.4</v>
      </c>
    </row>
    <row r="502" spans="1:9" hidden="1" x14ac:dyDescent="0.2">
      <c r="A502" t="s">
        <v>18</v>
      </c>
      <c r="B502" s="4" t="s">
        <v>294</v>
      </c>
      <c r="C502" s="5">
        <v>45461</v>
      </c>
      <c r="D502" t="s">
        <v>41</v>
      </c>
      <c r="E502" t="s">
        <v>133</v>
      </c>
      <c r="F502" t="s">
        <v>272</v>
      </c>
      <c r="G502" s="6">
        <v>187</v>
      </c>
      <c r="H502" s="7">
        <v>0.74</v>
      </c>
      <c r="I502" s="7">
        <v>138.38</v>
      </c>
    </row>
    <row r="503" spans="1:9" hidden="1" x14ac:dyDescent="0.2">
      <c r="A503" t="s">
        <v>18</v>
      </c>
      <c r="B503" s="4" t="s">
        <v>295</v>
      </c>
      <c r="C503" s="5">
        <v>45457</v>
      </c>
      <c r="D503" t="s">
        <v>41</v>
      </c>
      <c r="E503" t="s">
        <v>284</v>
      </c>
      <c r="F503" t="s">
        <v>272</v>
      </c>
      <c r="G503" s="6">
        <v>99</v>
      </c>
      <c r="H503" s="7">
        <v>1.1000000000000001</v>
      </c>
      <c r="I503" s="7">
        <v>108.9</v>
      </c>
    </row>
    <row r="504" spans="1:9" hidden="1" x14ac:dyDescent="0.2">
      <c r="A504" t="s">
        <v>18</v>
      </c>
      <c r="B504" s="4" t="s">
        <v>295</v>
      </c>
      <c r="C504" s="5">
        <v>45457</v>
      </c>
      <c r="D504" t="s">
        <v>41</v>
      </c>
      <c r="E504" t="s">
        <v>296</v>
      </c>
      <c r="F504" t="s">
        <v>272</v>
      </c>
      <c r="G504" s="6">
        <v>129</v>
      </c>
      <c r="H504" s="7">
        <v>0.85</v>
      </c>
      <c r="I504" s="7">
        <v>109.65</v>
      </c>
    </row>
    <row r="505" spans="1:9" hidden="1" x14ac:dyDescent="0.2">
      <c r="A505" t="s">
        <v>18</v>
      </c>
      <c r="B505" s="4" t="s">
        <v>295</v>
      </c>
      <c r="C505" s="5">
        <v>45457</v>
      </c>
      <c r="D505" t="s">
        <v>41</v>
      </c>
      <c r="E505" t="s">
        <v>297</v>
      </c>
      <c r="F505" t="s">
        <v>272</v>
      </c>
      <c r="G505" s="6">
        <v>153</v>
      </c>
      <c r="H505" s="7">
        <v>0.87</v>
      </c>
      <c r="I505" s="7">
        <v>133.11000000000001</v>
      </c>
    </row>
    <row r="506" spans="1:9" hidden="1" x14ac:dyDescent="0.2">
      <c r="A506" t="s">
        <v>18</v>
      </c>
      <c r="B506" s="4" t="s">
        <v>298</v>
      </c>
      <c r="C506" s="5">
        <v>45446</v>
      </c>
      <c r="D506" t="s">
        <v>24</v>
      </c>
      <c r="E506" t="s">
        <v>289</v>
      </c>
      <c r="F506" t="s">
        <v>272</v>
      </c>
      <c r="G506" s="6">
        <v>550</v>
      </c>
      <c r="H506" s="7">
        <v>1.7000000000000001E-2</v>
      </c>
      <c r="I506" s="7">
        <v>8.06</v>
      </c>
    </row>
    <row r="507" spans="1:9" hidden="1" x14ac:dyDescent="0.2">
      <c r="A507" t="s">
        <v>18</v>
      </c>
      <c r="B507" s="4" t="s">
        <v>299</v>
      </c>
      <c r="C507" s="5">
        <v>45441</v>
      </c>
      <c r="D507" t="s">
        <v>24</v>
      </c>
      <c r="E507" t="s">
        <v>36</v>
      </c>
      <c r="F507" t="s">
        <v>272</v>
      </c>
      <c r="G507" s="6">
        <v>200</v>
      </c>
      <c r="H507" s="7">
        <v>0.16800000000000001</v>
      </c>
      <c r="I507" s="7">
        <v>28.58</v>
      </c>
    </row>
    <row r="508" spans="1:9" hidden="1" x14ac:dyDescent="0.2">
      <c r="A508" t="s">
        <v>18</v>
      </c>
      <c r="B508" s="4" t="s">
        <v>299</v>
      </c>
      <c r="C508" s="5">
        <v>45441</v>
      </c>
      <c r="D508" t="s">
        <v>35</v>
      </c>
      <c r="E508" t="s">
        <v>36</v>
      </c>
      <c r="F508" t="s">
        <v>272</v>
      </c>
      <c r="G508" s="6">
        <v>300</v>
      </c>
      <c r="H508" s="7">
        <v>1.6319999999999999</v>
      </c>
      <c r="I508" s="7">
        <v>489.74</v>
      </c>
    </row>
    <row r="509" spans="1:9" hidden="1" x14ac:dyDescent="0.2">
      <c r="A509" t="s">
        <v>18</v>
      </c>
      <c r="B509" s="4" t="s">
        <v>300</v>
      </c>
      <c r="C509" s="5">
        <v>45440</v>
      </c>
      <c r="D509" t="s">
        <v>301</v>
      </c>
      <c r="E509" t="s">
        <v>172</v>
      </c>
      <c r="F509" t="s">
        <v>272</v>
      </c>
      <c r="G509" s="6">
        <v>110</v>
      </c>
      <c r="H509" s="7" t="s">
        <v>17</v>
      </c>
      <c r="I509" s="7" t="s">
        <v>17</v>
      </c>
    </row>
    <row r="510" spans="1:9" hidden="1" x14ac:dyDescent="0.2">
      <c r="A510" t="s">
        <v>18</v>
      </c>
      <c r="B510" s="4" t="s">
        <v>302</v>
      </c>
      <c r="C510" s="5">
        <v>45432</v>
      </c>
      <c r="D510" t="s">
        <v>41</v>
      </c>
      <c r="E510" t="s">
        <v>114</v>
      </c>
      <c r="F510" t="s">
        <v>272</v>
      </c>
      <c r="G510" s="6">
        <v>188</v>
      </c>
      <c r="H510" s="7">
        <v>0.8</v>
      </c>
      <c r="I510" s="7">
        <v>150.4</v>
      </c>
    </row>
    <row r="511" spans="1:9" hidden="1" x14ac:dyDescent="0.2">
      <c r="A511" t="s">
        <v>18</v>
      </c>
      <c r="B511" s="4" t="s">
        <v>302</v>
      </c>
      <c r="C511" s="5">
        <v>45432</v>
      </c>
      <c r="D511" t="s">
        <v>41</v>
      </c>
      <c r="E511" t="s">
        <v>154</v>
      </c>
      <c r="F511" t="s">
        <v>272</v>
      </c>
      <c r="G511" s="6">
        <v>500</v>
      </c>
      <c r="H511" s="7">
        <v>3.5000000000000003E-2</v>
      </c>
      <c r="I511" s="7">
        <v>13.39</v>
      </c>
    </row>
    <row r="512" spans="1:9" hidden="1" x14ac:dyDescent="0.2">
      <c r="A512" t="s">
        <v>18</v>
      </c>
      <c r="B512" s="4" t="s">
        <v>302</v>
      </c>
      <c r="C512" s="5">
        <v>45432</v>
      </c>
      <c r="D512" t="s">
        <v>35</v>
      </c>
      <c r="E512" t="s">
        <v>154</v>
      </c>
      <c r="F512" t="s">
        <v>272</v>
      </c>
      <c r="G512" s="6">
        <v>500</v>
      </c>
      <c r="H512" s="7">
        <v>0.85</v>
      </c>
      <c r="I512" s="7">
        <v>424.81</v>
      </c>
    </row>
    <row r="513" spans="1:9" hidden="1" x14ac:dyDescent="0.2">
      <c r="A513" t="s">
        <v>18</v>
      </c>
      <c r="B513" s="4" t="s">
        <v>302</v>
      </c>
      <c r="C513" s="5">
        <v>45432</v>
      </c>
      <c r="D513" t="s">
        <v>41</v>
      </c>
      <c r="E513" t="s">
        <v>154</v>
      </c>
      <c r="F513" t="s">
        <v>272</v>
      </c>
      <c r="G513" s="6">
        <v>500</v>
      </c>
      <c r="H513" s="7">
        <v>2.1999999999999999E-2</v>
      </c>
      <c r="I513" s="7">
        <v>8.67</v>
      </c>
    </row>
    <row r="514" spans="1:9" hidden="1" x14ac:dyDescent="0.2">
      <c r="A514" t="s">
        <v>18</v>
      </c>
      <c r="B514" s="4" t="s">
        <v>302</v>
      </c>
      <c r="C514" s="5">
        <v>45432</v>
      </c>
      <c r="D514" t="s">
        <v>35</v>
      </c>
      <c r="E514" t="s">
        <v>154</v>
      </c>
      <c r="F514" t="s">
        <v>272</v>
      </c>
      <c r="G514" s="6">
        <v>500</v>
      </c>
      <c r="H514" s="7">
        <v>0.55000000000000004</v>
      </c>
      <c r="I514" s="7">
        <v>275.07</v>
      </c>
    </row>
    <row r="515" spans="1:9" hidden="1" x14ac:dyDescent="0.2">
      <c r="A515" t="s">
        <v>18</v>
      </c>
      <c r="B515" s="4" t="s">
        <v>303</v>
      </c>
      <c r="C515" s="5">
        <v>45429</v>
      </c>
      <c r="D515" t="s">
        <v>41</v>
      </c>
      <c r="E515" t="s">
        <v>133</v>
      </c>
      <c r="F515" t="s">
        <v>272</v>
      </c>
      <c r="G515" s="6">
        <v>187</v>
      </c>
      <c r="H515" s="7">
        <v>0.81</v>
      </c>
      <c r="I515" s="7">
        <v>151.47</v>
      </c>
    </row>
    <row r="516" spans="1:9" hidden="1" x14ac:dyDescent="0.2">
      <c r="A516" t="s">
        <v>18</v>
      </c>
      <c r="B516" s="4" t="s">
        <v>304</v>
      </c>
      <c r="C516" s="5">
        <v>45428</v>
      </c>
      <c r="D516" t="s">
        <v>35</v>
      </c>
      <c r="E516" t="s">
        <v>37</v>
      </c>
      <c r="F516" t="s">
        <v>272</v>
      </c>
      <c r="G516" s="6">
        <v>700</v>
      </c>
      <c r="H516" s="7">
        <v>1.133</v>
      </c>
      <c r="I516" s="7">
        <v>793.03</v>
      </c>
    </row>
    <row r="517" spans="1:9" hidden="1" x14ac:dyDescent="0.2">
      <c r="A517" t="s">
        <v>18</v>
      </c>
      <c r="B517" s="4" t="s">
        <v>305</v>
      </c>
      <c r="C517" s="5">
        <v>45427</v>
      </c>
      <c r="D517" t="s">
        <v>41</v>
      </c>
      <c r="E517" t="s">
        <v>284</v>
      </c>
      <c r="F517" t="s">
        <v>272</v>
      </c>
      <c r="G517" s="6">
        <v>99</v>
      </c>
      <c r="H517" s="7">
        <v>1.1000000000000001</v>
      </c>
      <c r="I517" s="7">
        <v>108.9</v>
      </c>
    </row>
    <row r="518" spans="1:9" hidden="1" x14ac:dyDescent="0.2">
      <c r="A518" t="s">
        <v>18</v>
      </c>
      <c r="B518" s="4" t="s">
        <v>305</v>
      </c>
      <c r="C518" s="5">
        <v>45427</v>
      </c>
      <c r="D518" t="s">
        <v>41</v>
      </c>
      <c r="E518" t="s">
        <v>296</v>
      </c>
      <c r="F518" t="s">
        <v>272</v>
      </c>
      <c r="G518" s="6">
        <v>129</v>
      </c>
      <c r="H518" s="7">
        <v>0.85</v>
      </c>
      <c r="I518" s="7">
        <v>109.65</v>
      </c>
    </row>
    <row r="519" spans="1:9" hidden="1" x14ac:dyDescent="0.2">
      <c r="A519" t="s">
        <v>18</v>
      </c>
      <c r="B519" s="4" t="s">
        <v>305</v>
      </c>
      <c r="C519" s="5">
        <v>45427</v>
      </c>
      <c r="D519" t="s">
        <v>41</v>
      </c>
      <c r="E519" t="s">
        <v>297</v>
      </c>
      <c r="F519" t="s">
        <v>272</v>
      </c>
      <c r="G519" s="6">
        <v>153</v>
      </c>
      <c r="H519" s="7">
        <v>0.9</v>
      </c>
      <c r="I519" s="7">
        <v>137.69999999999999</v>
      </c>
    </row>
    <row r="520" spans="1:9" hidden="1" x14ac:dyDescent="0.2">
      <c r="A520" t="s">
        <v>18</v>
      </c>
      <c r="B520" s="4" t="s">
        <v>306</v>
      </c>
      <c r="C520" s="5">
        <v>45425</v>
      </c>
      <c r="D520" t="s">
        <v>81</v>
      </c>
      <c r="E520" t="s">
        <v>107</v>
      </c>
      <c r="F520" t="s">
        <v>272</v>
      </c>
      <c r="G520" s="6">
        <v>100</v>
      </c>
      <c r="H520" s="7">
        <v>27.15</v>
      </c>
      <c r="I520" s="7">
        <v>2715</v>
      </c>
    </row>
    <row r="521" spans="1:9" hidden="1" x14ac:dyDescent="0.2">
      <c r="A521" t="s">
        <v>8</v>
      </c>
      <c r="B521" s="4" t="s">
        <v>306</v>
      </c>
      <c r="C521" s="5">
        <v>45425</v>
      </c>
      <c r="D521" t="s">
        <v>81</v>
      </c>
      <c r="E521" t="s">
        <v>289</v>
      </c>
      <c r="F521" t="s">
        <v>272</v>
      </c>
      <c r="G521" s="6">
        <v>550</v>
      </c>
      <c r="H521" s="7">
        <v>11.98</v>
      </c>
      <c r="I521" s="7">
        <v>6589</v>
      </c>
    </row>
    <row r="522" spans="1:9" hidden="1" x14ac:dyDescent="0.2">
      <c r="A522" t="s">
        <v>18</v>
      </c>
      <c r="B522" s="4" t="s">
        <v>306</v>
      </c>
      <c r="C522" s="5">
        <v>45425</v>
      </c>
      <c r="D522" t="s">
        <v>81</v>
      </c>
      <c r="E522" t="s">
        <v>123</v>
      </c>
      <c r="F522" t="s">
        <v>272</v>
      </c>
      <c r="G522" s="6">
        <v>200</v>
      </c>
      <c r="H522" s="7">
        <v>28.16</v>
      </c>
      <c r="I522" s="7">
        <v>5632</v>
      </c>
    </row>
    <row r="523" spans="1:9" hidden="1" x14ac:dyDescent="0.2">
      <c r="A523" t="s">
        <v>18</v>
      </c>
      <c r="B523" s="4" t="s">
        <v>307</v>
      </c>
      <c r="C523" s="5">
        <v>45414</v>
      </c>
      <c r="D523" t="s">
        <v>24</v>
      </c>
      <c r="E523" t="s">
        <v>289</v>
      </c>
      <c r="F523" t="s">
        <v>272</v>
      </c>
      <c r="G523" s="6">
        <v>550</v>
      </c>
      <c r="H523" s="7">
        <v>1.7000000000000001E-2</v>
      </c>
      <c r="I523" s="7">
        <v>8.06</v>
      </c>
    </row>
    <row r="524" spans="1:9" hidden="1" x14ac:dyDescent="0.2">
      <c r="A524" t="s">
        <v>18</v>
      </c>
      <c r="B524" s="4" t="s">
        <v>308</v>
      </c>
      <c r="C524" s="5">
        <v>45399</v>
      </c>
      <c r="D524" t="s">
        <v>309</v>
      </c>
      <c r="E524" t="s">
        <v>107</v>
      </c>
      <c r="F524" t="s">
        <v>272</v>
      </c>
      <c r="G524" s="6">
        <v>300</v>
      </c>
      <c r="H524" s="7" t="s">
        <v>17</v>
      </c>
      <c r="I524" s="7" t="s">
        <v>17</v>
      </c>
    </row>
    <row r="525" spans="1:9" hidden="1" x14ac:dyDescent="0.2">
      <c r="A525" t="s">
        <v>18</v>
      </c>
      <c r="B525" s="4" t="s">
        <v>308</v>
      </c>
      <c r="C525" s="5">
        <v>45399</v>
      </c>
      <c r="D525" t="s">
        <v>41</v>
      </c>
      <c r="E525" t="s">
        <v>114</v>
      </c>
      <c r="F525" t="s">
        <v>272</v>
      </c>
      <c r="G525" s="6">
        <v>188</v>
      </c>
      <c r="H525" s="7">
        <v>0.8</v>
      </c>
      <c r="I525" s="7">
        <v>150.4</v>
      </c>
    </row>
    <row r="526" spans="1:9" hidden="1" x14ac:dyDescent="0.2">
      <c r="A526" t="s">
        <v>18</v>
      </c>
      <c r="B526" s="4" t="s">
        <v>310</v>
      </c>
      <c r="C526" s="5">
        <v>45398</v>
      </c>
      <c r="D526" t="s">
        <v>41</v>
      </c>
      <c r="E526" t="s">
        <v>133</v>
      </c>
      <c r="F526" t="s">
        <v>272</v>
      </c>
      <c r="G526" s="6">
        <v>187</v>
      </c>
      <c r="H526" s="7">
        <v>0.8</v>
      </c>
      <c r="I526" s="7">
        <v>149.6</v>
      </c>
    </row>
    <row r="527" spans="1:9" hidden="1" x14ac:dyDescent="0.2">
      <c r="A527" t="s">
        <v>18</v>
      </c>
      <c r="B527" s="4" t="s">
        <v>311</v>
      </c>
      <c r="C527" s="5">
        <v>45394</v>
      </c>
      <c r="D527" t="s">
        <v>41</v>
      </c>
      <c r="E527" t="s">
        <v>284</v>
      </c>
      <c r="F527" t="s">
        <v>272</v>
      </c>
      <c r="G527" s="6">
        <v>99</v>
      </c>
      <c r="H527" s="7">
        <v>1.1000000000000001</v>
      </c>
      <c r="I527" s="7">
        <v>108.9</v>
      </c>
    </row>
    <row r="528" spans="1:9" hidden="1" x14ac:dyDescent="0.2">
      <c r="A528" t="s">
        <v>18</v>
      </c>
      <c r="B528" s="4" t="s">
        <v>311</v>
      </c>
      <c r="C528" s="5">
        <v>45394</v>
      </c>
      <c r="D528" t="s">
        <v>41</v>
      </c>
      <c r="E528" t="s">
        <v>296</v>
      </c>
      <c r="F528" t="s">
        <v>272</v>
      </c>
      <c r="G528" s="6">
        <v>129</v>
      </c>
      <c r="H528" s="7">
        <v>0.85</v>
      </c>
      <c r="I528" s="7">
        <v>109.65</v>
      </c>
    </row>
    <row r="529" spans="1:9" hidden="1" x14ac:dyDescent="0.2">
      <c r="A529" t="s">
        <v>18</v>
      </c>
      <c r="B529" s="4" t="s">
        <v>311</v>
      </c>
      <c r="C529" s="5">
        <v>45394</v>
      </c>
      <c r="D529" t="s">
        <v>41</v>
      </c>
      <c r="E529" t="s">
        <v>297</v>
      </c>
      <c r="F529" t="s">
        <v>272</v>
      </c>
      <c r="G529" s="6">
        <v>153</v>
      </c>
      <c r="H529" s="7">
        <v>0.92</v>
      </c>
      <c r="I529" s="7">
        <v>140.76</v>
      </c>
    </row>
    <row r="530" spans="1:9" hidden="1" x14ac:dyDescent="0.2">
      <c r="A530" t="s">
        <v>18</v>
      </c>
      <c r="B530" s="4" t="s">
        <v>312</v>
      </c>
      <c r="C530" s="5">
        <v>45387</v>
      </c>
      <c r="D530" t="s">
        <v>35</v>
      </c>
      <c r="E530" t="s">
        <v>63</v>
      </c>
      <c r="F530" t="s">
        <v>272</v>
      </c>
      <c r="G530" s="6">
        <v>700</v>
      </c>
      <c r="H530" s="7">
        <v>6.7000000000000004E-2</v>
      </c>
      <c r="I530" s="7">
        <v>46.83</v>
      </c>
    </row>
    <row r="531" spans="1:9" hidden="1" x14ac:dyDescent="0.2">
      <c r="A531" t="s">
        <v>18</v>
      </c>
      <c r="B531" s="4" t="s">
        <v>312</v>
      </c>
      <c r="C531" s="5">
        <v>45387</v>
      </c>
      <c r="D531" t="s">
        <v>24</v>
      </c>
      <c r="E531" t="s">
        <v>63</v>
      </c>
      <c r="F531" t="s">
        <v>272</v>
      </c>
      <c r="G531" s="6">
        <v>700</v>
      </c>
      <c r="H531" s="7">
        <v>5.1999999999999998E-2</v>
      </c>
      <c r="I531" s="7">
        <v>31.21</v>
      </c>
    </row>
    <row r="532" spans="1:9" hidden="1" x14ac:dyDescent="0.2">
      <c r="A532" t="s">
        <v>18</v>
      </c>
      <c r="B532" s="4" t="s">
        <v>313</v>
      </c>
      <c r="C532" s="5">
        <v>45383</v>
      </c>
      <c r="D532" t="s">
        <v>24</v>
      </c>
      <c r="E532" t="s">
        <v>289</v>
      </c>
      <c r="F532" t="s">
        <v>272</v>
      </c>
      <c r="G532" s="6">
        <v>550</v>
      </c>
      <c r="H532" s="7">
        <v>1.7000000000000001E-2</v>
      </c>
      <c r="I532" s="7">
        <v>8.06</v>
      </c>
    </row>
    <row r="533" spans="1:9" hidden="1" x14ac:dyDescent="0.2">
      <c r="A533" t="s">
        <v>18</v>
      </c>
      <c r="B533" s="4" t="s">
        <v>313</v>
      </c>
      <c r="C533" s="5">
        <v>45383</v>
      </c>
      <c r="D533" t="s">
        <v>35</v>
      </c>
      <c r="E533" t="s">
        <v>57</v>
      </c>
      <c r="F533" t="s">
        <v>272</v>
      </c>
      <c r="G533" s="6">
        <v>830</v>
      </c>
      <c r="H533" s="7">
        <v>0.14799999999999999</v>
      </c>
      <c r="I533" s="7">
        <v>122.51</v>
      </c>
    </row>
    <row r="534" spans="1:9" hidden="1" x14ac:dyDescent="0.2">
      <c r="A534" t="s">
        <v>18</v>
      </c>
      <c r="B534" s="4" t="s">
        <v>314</v>
      </c>
      <c r="C534" s="5">
        <v>45379</v>
      </c>
      <c r="D534" t="s">
        <v>24</v>
      </c>
      <c r="E534" t="s">
        <v>152</v>
      </c>
      <c r="F534" t="s">
        <v>272</v>
      </c>
      <c r="G534" s="6">
        <v>500</v>
      </c>
      <c r="H534" s="7">
        <v>7.6999999999999999E-2</v>
      </c>
      <c r="I534" s="7">
        <v>32.56</v>
      </c>
    </row>
    <row r="535" spans="1:9" hidden="1" x14ac:dyDescent="0.2">
      <c r="A535" t="s">
        <v>18</v>
      </c>
      <c r="B535" s="4" t="s">
        <v>314</v>
      </c>
      <c r="C535" s="5">
        <v>45379</v>
      </c>
      <c r="D535" t="s">
        <v>24</v>
      </c>
      <c r="E535" t="s">
        <v>152</v>
      </c>
      <c r="F535" t="s">
        <v>272</v>
      </c>
      <c r="G535" s="6">
        <v>500</v>
      </c>
      <c r="H535" s="7">
        <v>0.18099999999999999</v>
      </c>
      <c r="I535" s="7">
        <v>77.08</v>
      </c>
    </row>
    <row r="536" spans="1:9" hidden="1" x14ac:dyDescent="0.2">
      <c r="A536" t="s">
        <v>18</v>
      </c>
      <c r="B536" s="4" t="s">
        <v>315</v>
      </c>
      <c r="C536" s="5">
        <v>45378</v>
      </c>
      <c r="D536" t="s">
        <v>24</v>
      </c>
      <c r="E536" t="s">
        <v>107</v>
      </c>
      <c r="F536" t="s">
        <v>272</v>
      </c>
      <c r="G536" s="6">
        <v>300</v>
      </c>
      <c r="H536" s="7">
        <v>0.41</v>
      </c>
      <c r="I536" s="7">
        <v>104.56</v>
      </c>
    </row>
    <row r="537" spans="1:9" hidden="1" x14ac:dyDescent="0.2">
      <c r="A537" t="s">
        <v>18</v>
      </c>
      <c r="B537" s="4" t="s">
        <v>316</v>
      </c>
      <c r="C537" s="5">
        <v>45371</v>
      </c>
      <c r="D537" t="s">
        <v>35</v>
      </c>
      <c r="E537" t="s">
        <v>154</v>
      </c>
      <c r="F537" t="s">
        <v>237</v>
      </c>
      <c r="G537" s="6">
        <v>500</v>
      </c>
      <c r="H537" s="7">
        <v>0.67300000000000004</v>
      </c>
      <c r="I537" s="7">
        <v>336.33</v>
      </c>
    </row>
    <row r="538" spans="1:9" hidden="1" x14ac:dyDescent="0.2">
      <c r="A538" t="s">
        <v>18</v>
      </c>
      <c r="B538" s="4" t="s">
        <v>316</v>
      </c>
      <c r="C538" s="5">
        <v>45371</v>
      </c>
      <c r="D538" t="s">
        <v>41</v>
      </c>
      <c r="E538" t="s">
        <v>154</v>
      </c>
      <c r="F538" t="s">
        <v>237</v>
      </c>
      <c r="G538" s="6">
        <v>500</v>
      </c>
      <c r="H538" s="7">
        <v>1.6E-2</v>
      </c>
      <c r="I538" s="7">
        <v>6.19</v>
      </c>
    </row>
    <row r="539" spans="1:9" hidden="1" x14ac:dyDescent="0.2">
      <c r="A539" t="s">
        <v>18</v>
      </c>
      <c r="B539" s="4" t="s">
        <v>317</v>
      </c>
      <c r="C539" s="5">
        <v>45370</v>
      </c>
      <c r="D539" t="s">
        <v>41</v>
      </c>
      <c r="E539" t="s">
        <v>114</v>
      </c>
      <c r="F539" t="s">
        <v>272</v>
      </c>
      <c r="G539" s="6">
        <v>188</v>
      </c>
      <c r="H539" s="7">
        <v>0.8</v>
      </c>
      <c r="I539" s="7">
        <v>150.4</v>
      </c>
    </row>
    <row r="540" spans="1:9" hidden="1" x14ac:dyDescent="0.2">
      <c r="A540" t="s">
        <v>18</v>
      </c>
      <c r="B540" s="4" t="s">
        <v>317</v>
      </c>
      <c r="C540" s="5">
        <v>45370</v>
      </c>
      <c r="D540" t="s">
        <v>35</v>
      </c>
      <c r="E540" t="s">
        <v>318</v>
      </c>
      <c r="F540" t="s">
        <v>272</v>
      </c>
      <c r="G540" s="6">
        <v>200</v>
      </c>
      <c r="H540" s="7">
        <v>2.7389999999999999</v>
      </c>
      <c r="I540" s="7">
        <v>547.70000000000005</v>
      </c>
    </row>
    <row r="541" spans="1:9" hidden="1" x14ac:dyDescent="0.2">
      <c r="A541" t="s">
        <v>18</v>
      </c>
      <c r="B541" s="4" t="s">
        <v>319</v>
      </c>
      <c r="C541" s="5">
        <v>45369</v>
      </c>
      <c r="D541" t="s">
        <v>41</v>
      </c>
      <c r="E541" t="s">
        <v>133</v>
      </c>
      <c r="F541" t="s">
        <v>272</v>
      </c>
      <c r="G541" s="6">
        <v>187</v>
      </c>
      <c r="H541" s="7">
        <v>0.78</v>
      </c>
      <c r="I541" s="7">
        <v>145.86000000000001</v>
      </c>
    </row>
    <row r="542" spans="1:9" hidden="1" x14ac:dyDescent="0.2">
      <c r="A542" t="s">
        <v>18</v>
      </c>
      <c r="B542" s="4" t="s">
        <v>320</v>
      </c>
      <c r="C542" s="5">
        <v>45365</v>
      </c>
      <c r="D542" t="s">
        <v>41</v>
      </c>
      <c r="E542" t="s">
        <v>284</v>
      </c>
      <c r="F542" t="s">
        <v>272</v>
      </c>
      <c r="G542" s="6">
        <v>99</v>
      </c>
      <c r="H542" s="7">
        <v>1.1000000000000001</v>
      </c>
      <c r="I542" s="7">
        <v>108.9</v>
      </c>
    </row>
    <row r="543" spans="1:9" hidden="1" x14ac:dyDescent="0.2">
      <c r="A543" t="s">
        <v>18</v>
      </c>
      <c r="B543" s="4" t="s">
        <v>320</v>
      </c>
      <c r="C543" s="5">
        <v>45365</v>
      </c>
      <c r="D543" t="s">
        <v>41</v>
      </c>
      <c r="E543" t="s">
        <v>296</v>
      </c>
      <c r="F543" t="s">
        <v>272</v>
      </c>
      <c r="G543" s="6">
        <v>129</v>
      </c>
      <c r="H543" s="7">
        <v>0.85</v>
      </c>
      <c r="I543" s="7">
        <v>109.65</v>
      </c>
    </row>
    <row r="544" spans="1:9" hidden="1" x14ac:dyDescent="0.2">
      <c r="A544" t="s">
        <v>18</v>
      </c>
      <c r="B544" s="4" t="s">
        <v>320</v>
      </c>
      <c r="C544" s="5">
        <v>45365</v>
      </c>
      <c r="D544" t="s">
        <v>41</v>
      </c>
      <c r="E544" t="s">
        <v>297</v>
      </c>
      <c r="F544" t="s">
        <v>272</v>
      </c>
      <c r="G544" s="6">
        <v>153</v>
      </c>
      <c r="H544" s="7">
        <v>0.92</v>
      </c>
      <c r="I544" s="7">
        <v>140.76</v>
      </c>
    </row>
    <row r="545" spans="1:9" hidden="1" x14ac:dyDescent="0.2">
      <c r="A545" t="s">
        <v>18</v>
      </c>
      <c r="B545" s="4" t="s">
        <v>321</v>
      </c>
      <c r="C545" s="5">
        <v>45364</v>
      </c>
      <c r="D545" t="s">
        <v>24</v>
      </c>
      <c r="E545" t="s">
        <v>129</v>
      </c>
      <c r="F545" t="s">
        <v>272</v>
      </c>
      <c r="G545" s="6">
        <v>800</v>
      </c>
      <c r="H545" s="7">
        <v>0.06</v>
      </c>
      <c r="I545" s="7">
        <v>40.68</v>
      </c>
    </row>
    <row r="546" spans="1:9" hidden="1" x14ac:dyDescent="0.2">
      <c r="A546" t="s">
        <v>18</v>
      </c>
      <c r="B546" s="4" t="s">
        <v>321</v>
      </c>
      <c r="C546" s="5">
        <v>45364</v>
      </c>
      <c r="D546" t="s">
        <v>35</v>
      </c>
      <c r="E546" t="s">
        <v>129</v>
      </c>
      <c r="F546" t="s">
        <v>272</v>
      </c>
      <c r="G546" s="6">
        <v>800</v>
      </c>
      <c r="H546" s="7">
        <v>0.29799999999999999</v>
      </c>
      <c r="I546" s="7">
        <v>238.35</v>
      </c>
    </row>
    <row r="547" spans="1:9" hidden="1" x14ac:dyDescent="0.2">
      <c r="A547" t="s">
        <v>18</v>
      </c>
      <c r="B547" s="4" t="s">
        <v>321</v>
      </c>
      <c r="C547" s="5">
        <v>45364</v>
      </c>
      <c r="D547" t="s">
        <v>24</v>
      </c>
      <c r="E547" t="s">
        <v>129</v>
      </c>
      <c r="F547" t="s">
        <v>272</v>
      </c>
      <c r="G547" s="6">
        <v>800</v>
      </c>
      <c r="H547" s="7">
        <v>7.1999999999999995E-2</v>
      </c>
      <c r="I547" s="7">
        <v>48.92</v>
      </c>
    </row>
    <row r="548" spans="1:9" hidden="1" x14ac:dyDescent="0.2">
      <c r="A548" t="s">
        <v>18</v>
      </c>
      <c r="B548" s="4" t="s">
        <v>322</v>
      </c>
      <c r="C548" s="5">
        <v>45358</v>
      </c>
      <c r="D548" t="s">
        <v>81</v>
      </c>
      <c r="E548" t="s">
        <v>223</v>
      </c>
      <c r="F548" t="s">
        <v>272</v>
      </c>
      <c r="G548" s="6">
        <v>100</v>
      </c>
      <c r="H548" s="7">
        <v>33.47</v>
      </c>
      <c r="I548" s="7">
        <v>3347</v>
      </c>
    </row>
    <row r="549" spans="1:9" hidden="1" x14ac:dyDescent="0.2">
      <c r="A549" t="s">
        <v>18</v>
      </c>
      <c r="B549" s="4" t="s">
        <v>322</v>
      </c>
      <c r="C549" s="5">
        <v>45358</v>
      </c>
      <c r="D549" t="s">
        <v>81</v>
      </c>
      <c r="E549" t="s">
        <v>36</v>
      </c>
      <c r="F549" t="s">
        <v>272</v>
      </c>
      <c r="G549" s="6">
        <v>100</v>
      </c>
      <c r="H549" s="7">
        <v>36.57</v>
      </c>
      <c r="I549" s="7">
        <v>3657</v>
      </c>
    </row>
    <row r="550" spans="1:9" hidden="1" x14ac:dyDescent="0.2">
      <c r="A550" t="s">
        <v>18</v>
      </c>
      <c r="B550" s="4" t="s">
        <v>323</v>
      </c>
      <c r="C550" s="5">
        <v>45352</v>
      </c>
      <c r="D550" t="s">
        <v>24</v>
      </c>
      <c r="E550" t="s">
        <v>289</v>
      </c>
      <c r="F550" t="s">
        <v>272</v>
      </c>
      <c r="G550" s="6">
        <v>550</v>
      </c>
      <c r="H550" s="7">
        <v>1.7000000000000001E-2</v>
      </c>
      <c r="I550" s="7">
        <v>8.06</v>
      </c>
    </row>
    <row r="551" spans="1:9" x14ac:dyDescent="0.2">
      <c r="A551" t="s">
        <v>8</v>
      </c>
      <c r="B551" s="4" t="s">
        <v>323</v>
      </c>
      <c r="C551" s="5">
        <v>45352</v>
      </c>
      <c r="D551" t="s">
        <v>14</v>
      </c>
      <c r="E551" t="s">
        <v>324</v>
      </c>
      <c r="F551" t="s">
        <v>272</v>
      </c>
      <c r="G551" s="6">
        <v>0</v>
      </c>
      <c r="H551" s="7" t="s">
        <v>17</v>
      </c>
      <c r="I551" s="7" t="s">
        <v>17</v>
      </c>
    </row>
    <row r="552" spans="1:9" hidden="1" x14ac:dyDescent="0.2">
      <c r="A552" t="s">
        <v>18</v>
      </c>
      <c r="B552" s="4" t="s">
        <v>325</v>
      </c>
      <c r="C552" s="5">
        <v>45351</v>
      </c>
      <c r="D552" t="s">
        <v>24</v>
      </c>
      <c r="E552" t="s">
        <v>107</v>
      </c>
      <c r="F552" t="s">
        <v>272</v>
      </c>
      <c r="G552" s="6">
        <v>300</v>
      </c>
      <c r="H552" s="7">
        <v>0.61399999999999999</v>
      </c>
      <c r="I552" s="7">
        <v>156.47999999999999</v>
      </c>
    </row>
    <row r="553" spans="1:9" hidden="1" x14ac:dyDescent="0.2">
      <c r="A553" t="s">
        <v>18</v>
      </c>
      <c r="B553" s="4" t="s">
        <v>325</v>
      </c>
      <c r="C553" s="5">
        <v>45351</v>
      </c>
      <c r="D553" t="s">
        <v>35</v>
      </c>
      <c r="E553" t="s">
        <v>107</v>
      </c>
      <c r="F553" t="s">
        <v>272</v>
      </c>
      <c r="G553" s="6">
        <v>300</v>
      </c>
      <c r="H553" s="7">
        <v>0.221</v>
      </c>
      <c r="I553" s="7">
        <v>66.239999999999995</v>
      </c>
    </row>
    <row r="554" spans="1:9" hidden="1" x14ac:dyDescent="0.2">
      <c r="A554" t="s">
        <v>18</v>
      </c>
      <c r="B554" s="4" t="s">
        <v>325</v>
      </c>
      <c r="C554" s="5">
        <v>45351</v>
      </c>
      <c r="D554" t="s">
        <v>41</v>
      </c>
      <c r="E554" t="s">
        <v>107</v>
      </c>
      <c r="F554" t="s">
        <v>272</v>
      </c>
      <c r="G554" s="6">
        <v>300</v>
      </c>
      <c r="H554" s="7">
        <v>1.0999999999999999E-2</v>
      </c>
      <c r="I554" s="7">
        <v>2.54</v>
      </c>
    </row>
    <row r="555" spans="1:9" hidden="1" x14ac:dyDescent="0.2">
      <c r="A555" t="s">
        <v>18</v>
      </c>
      <c r="B555" s="4" t="s">
        <v>325</v>
      </c>
      <c r="C555" s="5">
        <v>45351</v>
      </c>
      <c r="D555" t="s">
        <v>41</v>
      </c>
      <c r="E555" t="s">
        <v>107</v>
      </c>
      <c r="F555" t="s">
        <v>272</v>
      </c>
      <c r="G555" s="6">
        <v>300</v>
      </c>
      <c r="H555" s="7">
        <v>4.0000000000000001E-3</v>
      </c>
      <c r="I555" s="7">
        <v>0.91</v>
      </c>
    </row>
    <row r="556" spans="1:9" hidden="1" x14ac:dyDescent="0.2">
      <c r="A556" t="s">
        <v>8</v>
      </c>
      <c r="B556" s="4" t="s">
        <v>325</v>
      </c>
      <c r="C556" s="5">
        <v>45351</v>
      </c>
      <c r="D556" t="s">
        <v>21</v>
      </c>
      <c r="E556" t="s">
        <v>324</v>
      </c>
      <c r="F556" t="s">
        <v>272</v>
      </c>
      <c r="G556" s="6">
        <v>105</v>
      </c>
      <c r="H556" s="7" t="s">
        <v>17</v>
      </c>
      <c r="I556" s="7" t="s">
        <v>17</v>
      </c>
    </row>
    <row r="557" spans="1:9" hidden="1" x14ac:dyDescent="0.2">
      <c r="A557" t="s">
        <v>18</v>
      </c>
      <c r="B557" s="4" t="s">
        <v>325</v>
      </c>
      <c r="C557" s="5">
        <v>45351</v>
      </c>
      <c r="D557" t="s">
        <v>20</v>
      </c>
      <c r="E557" t="s">
        <v>324</v>
      </c>
      <c r="F557" t="s">
        <v>272</v>
      </c>
      <c r="G557" s="6">
        <v>105</v>
      </c>
      <c r="H557" s="7" t="s">
        <v>17</v>
      </c>
      <c r="I557" s="7" t="s">
        <v>17</v>
      </c>
    </row>
    <row r="558" spans="1:9" hidden="1" x14ac:dyDescent="0.2">
      <c r="A558" s="1" t="s">
        <v>18</v>
      </c>
      <c r="B558" s="8" t="s">
        <v>326</v>
      </c>
      <c r="C558" s="9">
        <v>45345</v>
      </c>
      <c r="D558" s="1" t="s">
        <v>31</v>
      </c>
      <c r="E558" s="1" t="s">
        <v>154</v>
      </c>
      <c r="F558" s="1" t="s">
        <v>272</v>
      </c>
      <c r="G558" s="10">
        <v>500</v>
      </c>
      <c r="H558" s="11" t="s">
        <v>17</v>
      </c>
      <c r="I558" s="11" t="s">
        <v>17</v>
      </c>
    </row>
    <row r="559" spans="1:9" hidden="1" x14ac:dyDescent="0.2">
      <c r="A559" t="s">
        <v>18</v>
      </c>
      <c r="B559" s="4" t="s">
        <v>327</v>
      </c>
      <c r="C559" s="5">
        <v>45343</v>
      </c>
      <c r="D559" t="s">
        <v>41</v>
      </c>
      <c r="E559" t="s">
        <v>328</v>
      </c>
      <c r="F559" t="s">
        <v>272</v>
      </c>
      <c r="G559" s="6">
        <v>188</v>
      </c>
      <c r="H559" s="7">
        <v>0.8</v>
      </c>
      <c r="I559" s="7">
        <v>150.4</v>
      </c>
    </row>
    <row r="560" spans="1:9" hidden="1" x14ac:dyDescent="0.2">
      <c r="A560" t="s">
        <v>8</v>
      </c>
      <c r="B560" s="4" t="s">
        <v>327</v>
      </c>
      <c r="C560" s="5">
        <v>45343</v>
      </c>
      <c r="D560" t="s">
        <v>81</v>
      </c>
      <c r="E560" t="s">
        <v>329</v>
      </c>
      <c r="F560" t="s">
        <v>272</v>
      </c>
      <c r="G560" s="6">
        <v>191</v>
      </c>
      <c r="H560" s="7">
        <v>57.741999999999997</v>
      </c>
      <c r="I560" s="7">
        <v>11028.72</v>
      </c>
    </row>
    <row r="561" spans="1:9" hidden="1" x14ac:dyDescent="0.2">
      <c r="A561" t="s">
        <v>18</v>
      </c>
      <c r="B561" s="4" t="s">
        <v>330</v>
      </c>
      <c r="C561" s="5">
        <v>45342</v>
      </c>
      <c r="D561" t="s">
        <v>41</v>
      </c>
      <c r="E561" t="s">
        <v>331</v>
      </c>
      <c r="F561" t="s">
        <v>272</v>
      </c>
      <c r="G561" s="6">
        <v>187</v>
      </c>
      <c r="H561" s="7">
        <v>0.75</v>
      </c>
      <c r="I561" s="7">
        <v>140.25</v>
      </c>
    </row>
    <row r="562" spans="1:9" hidden="1" x14ac:dyDescent="0.2">
      <c r="A562" t="s">
        <v>18</v>
      </c>
      <c r="B562" s="4" t="s">
        <v>330</v>
      </c>
      <c r="C562" s="5">
        <v>45342</v>
      </c>
      <c r="D562" t="s">
        <v>41</v>
      </c>
      <c r="E562" t="s">
        <v>154</v>
      </c>
      <c r="F562" t="s">
        <v>272</v>
      </c>
      <c r="G562" s="6">
        <v>500</v>
      </c>
      <c r="H562" s="7">
        <v>4.0000000000000001E-3</v>
      </c>
      <c r="I562" s="7">
        <v>1.39</v>
      </c>
    </row>
    <row r="563" spans="1:9" hidden="1" x14ac:dyDescent="0.2">
      <c r="A563" t="s">
        <v>18</v>
      </c>
      <c r="B563" s="4" t="s">
        <v>330</v>
      </c>
      <c r="C563" s="5">
        <v>45342</v>
      </c>
      <c r="D563" t="s">
        <v>41</v>
      </c>
      <c r="E563" t="s">
        <v>154</v>
      </c>
      <c r="F563" t="s">
        <v>272</v>
      </c>
      <c r="G563" s="6">
        <v>500</v>
      </c>
      <c r="H563" s="7">
        <v>6.0000000000000001E-3</v>
      </c>
      <c r="I563" s="7">
        <v>2.4500000000000002</v>
      </c>
    </row>
    <row r="564" spans="1:9" hidden="1" x14ac:dyDescent="0.2">
      <c r="A564" t="s">
        <v>18</v>
      </c>
      <c r="B564" s="4" t="s">
        <v>330</v>
      </c>
      <c r="C564" s="5">
        <v>45342</v>
      </c>
      <c r="D564" t="s">
        <v>24</v>
      </c>
      <c r="E564" t="s">
        <v>154</v>
      </c>
      <c r="F564" t="s">
        <v>272</v>
      </c>
      <c r="G564" s="6">
        <v>500</v>
      </c>
      <c r="H564" s="7">
        <v>0.42899999999999999</v>
      </c>
      <c r="I564" s="7">
        <v>182.49</v>
      </c>
    </row>
    <row r="565" spans="1:9" hidden="1" x14ac:dyDescent="0.2">
      <c r="A565" t="s">
        <v>18</v>
      </c>
      <c r="B565" s="4" t="s">
        <v>330</v>
      </c>
      <c r="C565" s="5">
        <v>45342</v>
      </c>
      <c r="D565" t="s">
        <v>35</v>
      </c>
      <c r="E565" t="s">
        <v>154</v>
      </c>
      <c r="F565" t="s">
        <v>272</v>
      </c>
      <c r="G565" s="6">
        <v>500</v>
      </c>
      <c r="H565" s="7">
        <v>0.24299999999999999</v>
      </c>
      <c r="I565" s="7">
        <v>121.64</v>
      </c>
    </row>
    <row r="566" spans="1:9" hidden="1" x14ac:dyDescent="0.2">
      <c r="A566" t="s">
        <v>18</v>
      </c>
      <c r="B566" s="4" t="s">
        <v>332</v>
      </c>
      <c r="C566" s="5">
        <v>45338</v>
      </c>
      <c r="D566" t="s">
        <v>41</v>
      </c>
      <c r="E566" t="s">
        <v>284</v>
      </c>
      <c r="F566" t="s">
        <v>272</v>
      </c>
      <c r="G566" s="6">
        <v>99</v>
      </c>
      <c r="H566" s="7">
        <v>1.1000000000000001</v>
      </c>
      <c r="I566" s="7">
        <v>108.9</v>
      </c>
    </row>
    <row r="567" spans="1:9" hidden="1" x14ac:dyDescent="0.2">
      <c r="A567" t="s">
        <v>18</v>
      </c>
      <c r="B567" s="4" t="s">
        <v>332</v>
      </c>
      <c r="C567" s="5">
        <v>45338</v>
      </c>
      <c r="D567" t="s">
        <v>41</v>
      </c>
      <c r="E567" t="s">
        <v>296</v>
      </c>
      <c r="F567" t="s">
        <v>272</v>
      </c>
      <c r="G567" s="6">
        <v>129</v>
      </c>
      <c r="H567" s="7">
        <v>0.85</v>
      </c>
      <c r="I567" s="7">
        <v>109.65</v>
      </c>
    </row>
    <row r="568" spans="1:9" hidden="1" x14ac:dyDescent="0.2">
      <c r="A568" t="s">
        <v>18</v>
      </c>
      <c r="B568" s="4" t="s">
        <v>332</v>
      </c>
      <c r="C568" s="5">
        <v>45338</v>
      </c>
      <c r="D568" t="s">
        <v>41</v>
      </c>
      <c r="E568" t="s">
        <v>297</v>
      </c>
      <c r="F568" t="s">
        <v>272</v>
      </c>
      <c r="G568" s="6">
        <v>153</v>
      </c>
      <c r="H568" s="7">
        <v>0.92</v>
      </c>
      <c r="I568" s="7">
        <v>140.76</v>
      </c>
    </row>
    <row r="569" spans="1:9" hidden="1" x14ac:dyDescent="0.2">
      <c r="A569" t="s">
        <v>18</v>
      </c>
      <c r="B569" s="4" t="s">
        <v>332</v>
      </c>
      <c r="C569" s="5">
        <v>45338</v>
      </c>
      <c r="D569" t="s">
        <v>41</v>
      </c>
      <c r="E569" t="s">
        <v>329</v>
      </c>
      <c r="F569" t="s">
        <v>272</v>
      </c>
      <c r="G569" s="6">
        <v>191</v>
      </c>
      <c r="H569" s="7">
        <v>0.33</v>
      </c>
      <c r="I569" s="7">
        <v>63.03</v>
      </c>
    </row>
    <row r="570" spans="1:9" x14ac:dyDescent="0.2">
      <c r="A570" t="s">
        <v>18</v>
      </c>
      <c r="B570" s="4" t="s">
        <v>333</v>
      </c>
      <c r="C570" s="5">
        <v>45324</v>
      </c>
      <c r="D570" t="s">
        <v>28</v>
      </c>
      <c r="E570" t="s">
        <v>324</v>
      </c>
      <c r="F570" t="s">
        <v>272</v>
      </c>
      <c r="G570" s="6">
        <v>105</v>
      </c>
      <c r="H570" s="7" t="s">
        <v>17</v>
      </c>
      <c r="I570" s="7" t="s">
        <v>17</v>
      </c>
    </row>
    <row r="571" spans="1:9" hidden="1" x14ac:dyDescent="0.2">
      <c r="A571" t="s">
        <v>18</v>
      </c>
      <c r="B571" s="4" t="s">
        <v>334</v>
      </c>
      <c r="C571" s="5">
        <v>45323</v>
      </c>
      <c r="D571" t="s">
        <v>24</v>
      </c>
      <c r="E571" t="s">
        <v>289</v>
      </c>
      <c r="F571" t="s">
        <v>272</v>
      </c>
      <c r="G571" s="6">
        <v>550</v>
      </c>
      <c r="H571" s="7">
        <v>1.7000000000000001E-2</v>
      </c>
      <c r="I571" s="7">
        <v>8.06</v>
      </c>
    </row>
    <row r="572" spans="1:9" hidden="1" x14ac:dyDescent="0.2">
      <c r="A572" t="s">
        <v>18</v>
      </c>
      <c r="B572" s="4" t="s">
        <v>335</v>
      </c>
      <c r="C572" s="5">
        <v>45309</v>
      </c>
      <c r="D572" t="s">
        <v>41</v>
      </c>
      <c r="E572" t="s">
        <v>328</v>
      </c>
      <c r="F572" t="s">
        <v>272</v>
      </c>
      <c r="G572" s="6">
        <v>188</v>
      </c>
      <c r="H572" s="7">
        <v>0.9</v>
      </c>
      <c r="I572" s="7">
        <v>169.2</v>
      </c>
    </row>
    <row r="573" spans="1:9" hidden="1" x14ac:dyDescent="0.2">
      <c r="A573" t="s">
        <v>18</v>
      </c>
      <c r="B573" s="4" t="s">
        <v>336</v>
      </c>
      <c r="C573" s="5">
        <v>45308</v>
      </c>
      <c r="D573" t="s">
        <v>41</v>
      </c>
      <c r="E573" t="s">
        <v>331</v>
      </c>
      <c r="F573" t="s">
        <v>272</v>
      </c>
      <c r="G573" s="6">
        <v>187</v>
      </c>
      <c r="H573" s="7">
        <v>0.7</v>
      </c>
      <c r="I573" s="7">
        <v>130.9</v>
      </c>
    </row>
    <row r="574" spans="1:9" hidden="1" x14ac:dyDescent="0.2">
      <c r="A574" t="s">
        <v>18</v>
      </c>
      <c r="B574" s="4" t="s">
        <v>337</v>
      </c>
      <c r="C574" s="5">
        <v>45307</v>
      </c>
      <c r="D574" t="s">
        <v>35</v>
      </c>
      <c r="E574" t="s">
        <v>37</v>
      </c>
      <c r="F574" t="s">
        <v>272</v>
      </c>
      <c r="G574" s="6">
        <v>700</v>
      </c>
      <c r="H574" s="7">
        <v>0.66200000000000003</v>
      </c>
      <c r="I574" s="7">
        <v>463.28</v>
      </c>
    </row>
    <row r="575" spans="1:9" hidden="1" x14ac:dyDescent="0.2">
      <c r="A575" t="s">
        <v>18</v>
      </c>
      <c r="B575" s="4" t="s">
        <v>338</v>
      </c>
      <c r="C575" s="5">
        <v>45306</v>
      </c>
      <c r="D575" t="s">
        <v>41</v>
      </c>
      <c r="E575" t="s">
        <v>284</v>
      </c>
      <c r="F575" t="s">
        <v>272</v>
      </c>
      <c r="G575" s="6">
        <v>99</v>
      </c>
      <c r="H575" s="7">
        <v>1.1000000000000001</v>
      </c>
      <c r="I575" s="7">
        <v>108.9</v>
      </c>
    </row>
    <row r="576" spans="1:9" hidden="1" x14ac:dyDescent="0.2">
      <c r="A576" t="s">
        <v>18</v>
      </c>
      <c r="B576" s="4" t="s">
        <v>338</v>
      </c>
      <c r="C576" s="5">
        <v>45306</v>
      </c>
      <c r="D576" t="s">
        <v>41</v>
      </c>
      <c r="E576" t="s">
        <v>296</v>
      </c>
      <c r="F576" t="s">
        <v>272</v>
      </c>
      <c r="G576" s="6">
        <v>129</v>
      </c>
      <c r="H576" s="7">
        <v>2.2999999999999998</v>
      </c>
      <c r="I576" s="7">
        <v>296.7</v>
      </c>
    </row>
    <row r="577" spans="1:9" hidden="1" x14ac:dyDescent="0.2">
      <c r="A577" t="s">
        <v>18</v>
      </c>
      <c r="B577" s="4" t="s">
        <v>338</v>
      </c>
      <c r="C577" s="5">
        <v>45306</v>
      </c>
      <c r="D577" t="s">
        <v>41</v>
      </c>
      <c r="E577" t="s">
        <v>297</v>
      </c>
      <c r="F577" t="s">
        <v>272</v>
      </c>
      <c r="G577" s="6">
        <v>153</v>
      </c>
      <c r="H577" s="7">
        <v>0.8</v>
      </c>
      <c r="I577" s="7">
        <v>122.4</v>
      </c>
    </row>
    <row r="578" spans="1:9" hidden="1" x14ac:dyDescent="0.2">
      <c r="A578" t="s">
        <v>18</v>
      </c>
      <c r="B578" s="4" t="s">
        <v>338</v>
      </c>
      <c r="C578" s="5">
        <v>45306</v>
      </c>
      <c r="D578" t="s">
        <v>41</v>
      </c>
      <c r="E578" t="s">
        <v>329</v>
      </c>
      <c r="F578" t="s">
        <v>272</v>
      </c>
      <c r="G578" s="6">
        <v>191</v>
      </c>
      <c r="H578" s="7">
        <v>0.28000000000000003</v>
      </c>
      <c r="I578" s="7">
        <v>53.48</v>
      </c>
    </row>
    <row r="579" spans="1:9" hidden="1" x14ac:dyDescent="0.2">
      <c r="A579" s="1" t="s">
        <v>18</v>
      </c>
      <c r="B579" s="8" t="s">
        <v>339</v>
      </c>
      <c r="C579" s="9">
        <v>45301</v>
      </c>
      <c r="D579" s="1" t="s">
        <v>31</v>
      </c>
      <c r="E579" s="1" t="s">
        <v>172</v>
      </c>
      <c r="F579" s="1" t="s">
        <v>272</v>
      </c>
      <c r="G579" s="10">
        <v>1100</v>
      </c>
      <c r="H579" s="11" t="s">
        <v>17</v>
      </c>
      <c r="I579" s="11" t="s">
        <v>17</v>
      </c>
    </row>
    <row r="580" spans="1:9" hidden="1" x14ac:dyDescent="0.2">
      <c r="A580" t="s">
        <v>18</v>
      </c>
      <c r="B580" s="4" t="s">
        <v>340</v>
      </c>
      <c r="C580" s="5">
        <v>45299</v>
      </c>
      <c r="D580" t="s">
        <v>24</v>
      </c>
      <c r="E580" t="s">
        <v>63</v>
      </c>
      <c r="F580" t="s">
        <v>272</v>
      </c>
      <c r="G580" s="6">
        <v>700</v>
      </c>
      <c r="H580" s="7">
        <v>0.06</v>
      </c>
      <c r="I580" s="7">
        <v>35.42</v>
      </c>
    </row>
    <row r="581" spans="1:9" hidden="1" x14ac:dyDescent="0.2">
      <c r="A581" t="s">
        <v>18</v>
      </c>
      <c r="B581" s="4" t="s">
        <v>340</v>
      </c>
      <c r="C581" s="5">
        <v>45299</v>
      </c>
      <c r="D581" t="s">
        <v>35</v>
      </c>
      <c r="E581" t="s">
        <v>63</v>
      </c>
      <c r="F581" t="s">
        <v>272</v>
      </c>
      <c r="G581" s="6">
        <v>700</v>
      </c>
      <c r="H581" s="7">
        <v>4.1000000000000002E-2</v>
      </c>
      <c r="I581" s="7">
        <v>28.68</v>
      </c>
    </row>
    <row r="582" spans="1:9" hidden="1" x14ac:dyDescent="0.2">
      <c r="A582" t="s">
        <v>18</v>
      </c>
      <c r="B582" s="4" t="s">
        <v>341</v>
      </c>
      <c r="C582" s="5">
        <v>45293</v>
      </c>
      <c r="D582" t="s">
        <v>24</v>
      </c>
      <c r="E582" t="s">
        <v>289</v>
      </c>
      <c r="F582" t="s">
        <v>272</v>
      </c>
      <c r="G582" s="6">
        <v>550</v>
      </c>
      <c r="H582" s="7">
        <v>1.7000000000000001E-2</v>
      </c>
      <c r="I582" s="7">
        <v>8.06</v>
      </c>
    </row>
    <row r="583" spans="1:9" hidden="1" x14ac:dyDescent="0.2">
      <c r="A583" t="s">
        <v>18</v>
      </c>
      <c r="B583" s="4" t="s">
        <v>341</v>
      </c>
      <c r="C583" s="5">
        <v>45293</v>
      </c>
      <c r="D583" t="s">
        <v>24</v>
      </c>
      <c r="E583" t="s">
        <v>289</v>
      </c>
      <c r="F583" t="s">
        <v>272</v>
      </c>
      <c r="G583" s="6">
        <v>550</v>
      </c>
      <c r="H583" s="7">
        <v>0.17899999999999999</v>
      </c>
      <c r="I583" s="7">
        <v>83.68</v>
      </c>
    </row>
    <row r="584" spans="1:9" hidden="1" x14ac:dyDescent="0.2">
      <c r="A584" t="s">
        <v>8</v>
      </c>
      <c r="B584" s="4" t="s">
        <v>342</v>
      </c>
      <c r="C584" s="5">
        <v>45292</v>
      </c>
      <c r="D584" t="s">
        <v>287</v>
      </c>
      <c r="E584" t="s">
        <v>226</v>
      </c>
      <c r="F584" t="s">
        <v>272</v>
      </c>
      <c r="G584" s="6">
        <v>0</v>
      </c>
      <c r="H584" s="7" t="s">
        <v>17</v>
      </c>
      <c r="I584" s="7">
        <v>12.9</v>
      </c>
    </row>
    <row r="585" spans="1:9" hidden="1" x14ac:dyDescent="0.2">
      <c r="A585" t="s">
        <v>8</v>
      </c>
      <c r="B585" s="4" t="s">
        <v>342</v>
      </c>
      <c r="C585" s="5">
        <v>45292</v>
      </c>
      <c r="D585" t="s">
        <v>287</v>
      </c>
      <c r="E585" t="s">
        <v>227</v>
      </c>
      <c r="F585" t="s">
        <v>272</v>
      </c>
      <c r="G585" s="6">
        <v>0</v>
      </c>
      <c r="H585" s="7" t="s">
        <v>17</v>
      </c>
      <c r="I585" s="7">
        <v>13.39</v>
      </c>
    </row>
    <row r="586" spans="1:9" hidden="1" x14ac:dyDescent="0.2">
      <c r="A586" t="s">
        <v>18</v>
      </c>
      <c r="B586" s="4" t="s">
        <v>343</v>
      </c>
      <c r="C586" s="5">
        <v>45288</v>
      </c>
      <c r="D586" t="s">
        <v>24</v>
      </c>
      <c r="E586" t="s">
        <v>107</v>
      </c>
      <c r="F586" t="s">
        <v>272</v>
      </c>
      <c r="G586" s="6">
        <v>300</v>
      </c>
      <c r="H586" s="7">
        <v>0.34200000000000003</v>
      </c>
      <c r="I586" s="7">
        <v>87.29</v>
      </c>
    </row>
    <row r="587" spans="1:9" hidden="1" x14ac:dyDescent="0.2">
      <c r="A587" t="s">
        <v>18</v>
      </c>
      <c r="B587" s="4" t="s">
        <v>343</v>
      </c>
      <c r="C587" s="5">
        <v>45288</v>
      </c>
      <c r="D587" t="s">
        <v>24</v>
      </c>
      <c r="E587" t="s">
        <v>57</v>
      </c>
      <c r="F587" t="s">
        <v>272</v>
      </c>
      <c r="G587" s="6">
        <v>830</v>
      </c>
      <c r="H587" s="7">
        <v>0.26600000000000001</v>
      </c>
      <c r="I587" s="7">
        <v>187.37</v>
      </c>
    </row>
    <row r="588" spans="1:9" hidden="1" x14ac:dyDescent="0.2">
      <c r="A588" t="s">
        <v>18</v>
      </c>
      <c r="B588" s="4" t="s">
        <v>344</v>
      </c>
      <c r="C588" s="5">
        <v>45287</v>
      </c>
      <c r="D588" t="s">
        <v>35</v>
      </c>
      <c r="E588" t="s">
        <v>44</v>
      </c>
      <c r="F588" t="s">
        <v>272</v>
      </c>
      <c r="G588" s="6">
        <v>300</v>
      </c>
      <c r="H588" s="7">
        <v>0.94</v>
      </c>
      <c r="I588" s="7">
        <v>282.08</v>
      </c>
    </row>
    <row r="589" spans="1:9" hidden="1" x14ac:dyDescent="0.2">
      <c r="A589" t="s">
        <v>18</v>
      </c>
      <c r="B589" s="4" t="s">
        <v>344</v>
      </c>
      <c r="C589" s="5">
        <v>45287</v>
      </c>
      <c r="D589" t="s">
        <v>41</v>
      </c>
      <c r="E589" t="s">
        <v>154</v>
      </c>
      <c r="F589" t="s">
        <v>16</v>
      </c>
      <c r="G589" s="6">
        <v>500</v>
      </c>
      <c r="H589" s="7">
        <v>6.4000000000000001E-2</v>
      </c>
      <c r="I589" s="7">
        <v>26.59</v>
      </c>
    </row>
    <row r="590" spans="1:9" hidden="1" x14ac:dyDescent="0.2">
      <c r="A590" t="s">
        <v>18</v>
      </c>
      <c r="B590" s="4" t="s">
        <v>344</v>
      </c>
      <c r="C590" s="5">
        <v>45287</v>
      </c>
      <c r="D590" t="s">
        <v>35</v>
      </c>
      <c r="E590" t="s">
        <v>154</v>
      </c>
      <c r="F590" t="s">
        <v>16</v>
      </c>
      <c r="G590" s="6">
        <v>500</v>
      </c>
      <c r="H590" s="7">
        <v>0.498</v>
      </c>
      <c r="I590" s="7">
        <v>249.03</v>
      </c>
    </row>
    <row r="591" spans="1:9" hidden="1" x14ac:dyDescent="0.2">
      <c r="A591" t="s">
        <v>18</v>
      </c>
      <c r="B591" s="4" t="s">
        <v>345</v>
      </c>
      <c r="C591" s="5">
        <v>45279</v>
      </c>
      <c r="D591" t="s">
        <v>41</v>
      </c>
      <c r="E591" t="s">
        <v>328</v>
      </c>
      <c r="F591" t="s">
        <v>272</v>
      </c>
      <c r="G591" s="6">
        <v>188</v>
      </c>
      <c r="H591" s="7">
        <v>0.9</v>
      </c>
      <c r="I591" s="7">
        <v>169.2</v>
      </c>
    </row>
    <row r="592" spans="1:9" hidden="1" x14ac:dyDescent="0.2">
      <c r="A592" t="s">
        <v>18</v>
      </c>
      <c r="B592" s="4" t="s">
        <v>346</v>
      </c>
      <c r="C592" s="5">
        <v>45278</v>
      </c>
      <c r="D592" t="s">
        <v>41</v>
      </c>
      <c r="E592" t="s">
        <v>331</v>
      </c>
      <c r="F592" t="s">
        <v>272</v>
      </c>
      <c r="G592" s="6">
        <v>187</v>
      </c>
      <c r="H592" s="7">
        <v>0.77</v>
      </c>
      <c r="I592" s="7">
        <v>143.99</v>
      </c>
    </row>
    <row r="593" spans="1:9" hidden="1" x14ac:dyDescent="0.2">
      <c r="A593" t="s">
        <v>18</v>
      </c>
      <c r="B593" s="4" t="s">
        <v>346</v>
      </c>
      <c r="C593" s="5">
        <v>45278</v>
      </c>
      <c r="D593" t="s">
        <v>24</v>
      </c>
      <c r="E593" t="s">
        <v>36</v>
      </c>
      <c r="F593" t="s">
        <v>272</v>
      </c>
      <c r="G593" s="6">
        <v>100</v>
      </c>
      <c r="H593" s="7">
        <v>0.65100000000000002</v>
      </c>
      <c r="I593" s="7">
        <v>55.33</v>
      </c>
    </row>
    <row r="594" spans="1:9" hidden="1" x14ac:dyDescent="0.2">
      <c r="A594" t="s">
        <v>18</v>
      </c>
      <c r="B594" s="4" t="s">
        <v>347</v>
      </c>
      <c r="C594" s="5">
        <v>45275</v>
      </c>
      <c r="D594" t="s">
        <v>35</v>
      </c>
      <c r="E594" t="s">
        <v>154</v>
      </c>
      <c r="F594" t="s">
        <v>272</v>
      </c>
      <c r="G594" s="6">
        <v>500</v>
      </c>
      <c r="H594" s="7">
        <v>0.57499999999999996</v>
      </c>
      <c r="I594" s="7">
        <v>287.32</v>
      </c>
    </row>
    <row r="595" spans="1:9" hidden="1" x14ac:dyDescent="0.2">
      <c r="A595" t="s">
        <v>18</v>
      </c>
      <c r="B595" s="4" t="s">
        <v>347</v>
      </c>
      <c r="C595" s="5">
        <v>45275</v>
      </c>
      <c r="D595" t="s">
        <v>35</v>
      </c>
      <c r="E595" t="s">
        <v>37</v>
      </c>
      <c r="F595" t="s">
        <v>272</v>
      </c>
      <c r="G595" s="6">
        <v>600</v>
      </c>
      <c r="H595" s="7">
        <v>1.2E-2</v>
      </c>
      <c r="I595" s="7">
        <v>7.09</v>
      </c>
    </row>
    <row r="596" spans="1:9" hidden="1" x14ac:dyDescent="0.2">
      <c r="A596" t="s">
        <v>18</v>
      </c>
      <c r="B596" s="4" t="s">
        <v>347</v>
      </c>
      <c r="C596" s="5">
        <v>45275</v>
      </c>
      <c r="D596" t="s">
        <v>24</v>
      </c>
      <c r="E596" t="s">
        <v>37</v>
      </c>
      <c r="F596" t="s">
        <v>272</v>
      </c>
      <c r="G596" s="6">
        <v>600</v>
      </c>
      <c r="H596" s="7">
        <v>0.58199999999999996</v>
      </c>
      <c r="I596" s="7">
        <v>296.79000000000002</v>
      </c>
    </row>
    <row r="597" spans="1:9" hidden="1" x14ac:dyDescent="0.2">
      <c r="A597" t="s">
        <v>18</v>
      </c>
      <c r="B597" s="4" t="s">
        <v>348</v>
      </c>
      <c r="C597" s="5">
        <v>45274</v>
      </c>
      <c r="D597" t="s">
        <v>41</v>
      </c>
      <c r="E597" t="s">
        <v>284</v>
      </c>
      <c r="F597" t="s">
        <v>272</v>
      </c>
      <c r="G597" s="6">
        <v>99</v>
      </c>
      <c r="H597" s="7">
        <v>1.1000000000000001</v>
      </c>
      <c r="I597" s="7">
        <v>108.9</v>
      </c>
    </row>
    <row r="598" spans="1:9" hidden="1" x14ac:dyDescent="0.2">
      <c r="A598" t="s">
        <v>18</v>
      </c>
      <c r="B598" s="4" t="s">
        <v>348</v>
      </c>
      <c r="C598" s="5">
        <v>45274</v>
      </c>
      <c r="D598" t="s">
        <v>41</v>
      </c>
      <c r="E598" t="s">
        <v>296</v>
      </c>
      <c r="F598" t="s">
        <v>272</v>
      </c>
      <c r="G598" s="6">
        <v>129</v>
      </c>
      <c r="H598" s="7">
        <v>0.85</v>
      </c>
      <c r="I598" s="7">
        <v>109.65</v>
      </c>
    </row>
    <row r="599" spans="1:9" hidden="1" x14ac:dyDescent="0.2">
      <c r="A599" t="s">
        <v>18</v>
      </c>
      <c r="B599" s="4" t="s">
        <v>348</v>
      </c>
      <c r="C599" s="5">
        <v>45274</v>
      </c>
      <c r="D599" t="s">
        <v>41</v>
      </c>
      <c r="E599" t="s">
        <v>297</v>
      </c>
      <c r="F599" t="s">
        <v>272</v>
      </c>
      <c r="G599" s="6">
        <v>153</v>
      </c>
      <c r="H599" s="7">
        <v>0.8</v>
      </c>
      <c r="I599" s="7">
        <v>122.4</v>
      </c>
    </row>
    <row r="600" spans="1:9" hidden="1" x14ac:dyDescent="0.2">
      <c r="A600" t="s">
        <v>18</v>
      </c>
      <c r="B600" s="4" t="s">
        <v>348</v>
      </c>
      <c r="C600" s="5">
        <v>45274</v>
      </c>
      <c r="D600" t="s">
        <v>41</v>
      </c>
      <c r="E600" t="s">
        <v>329</v>
      </c>
      <c r="F600" t="s">
        <v>272</v>
      </c>
      <c r="G600" s="6">
        <v>191</v>
      </c>
      <c r="H600" s="7">
        <v>0.28000000000000003</v>
      </c>
      <c r="I600" s="7">
        <v>53.48</v>
      </c>
    </row>
    <row r="601" spans="1:9" hidden="1" x14ac:dyDescent="0.2">
      <c r="A601" t="s">
        <v>18</v>
      </c>
      <c r="B601" s="4" t="s">
        <v>349</v>
      </c>
      <c r="C601" s="5">
        <v>45265</v>
      </c>
      <c r="D601" t="s">
        <v>81</v>
      </c>
      <c r="E601" t="s">
        <v>223</v>
      </c>
      <c r="F601" t="s">
        <v>272</v>
      </c>
      <c r="G601" s="6">
        <v>100</v>
      </c>
      <c r="H601" s="7">
        <v>33.86</v>
      </c>
      <c r="I601" s="7">
        <v>3386</v>
      </c>
    </row>
    <row r="602" spans="1:9" hidden="1" x14ac:dyDescent="0.2">
      <c r="A602" t="s">
        <v>18</v>
      </c>
      <c r="B602" s="4" t="s">
        <v>349</v>
      </c>
      <c r="C602" s="5">
        <v>45265</v>
      </c>
      <c r="D602" t="s">
        <v>81</v>
      </c>
      <c r="E602" t="s">
        <v>36</v>
      </c>
      <c r="F602" t="s">
        <v>272</v>
      </c>
      <c r="G602" s="6">
        <v>100</v>
      </c>
      <c r="H602" s="7">
        <v>31.57</v>
      </c>
      <c r="I602" s="7">
        <v>3157</v>
      </c>
    </row>
    <row r="603" spans="1:9" hidden="1" x14ac:dyDescent="0.2">
      <c r="A603" t="s">
        <v>8</v>
      </c>
      <c r="B603" s="4" t="s">
        <v>349</v>
      </c>
      <c r="C603" s="5">
        <v>45265</v>
      </c>
      <c r="D603" t="s">
        <v>81</v>
      </c>
      <c r="E603" t="s">
        <v>350</v>
      </c>
      <c r="F603" t="s">
        <v>272</v>
      </c>
      <c r="G603" s="6">
        <v>200</v>
      </c>
      <c r="H603" s="7">
        <v>35.51</v>
      </c>
      <c r="I603" s="7">
        <v>7102</v>
      </c>
    </row>
    <row r="604" spans="1:9" hidden="1" x14ac:dyDescent="0.2">
      <c r="A604" t="s">
        <v>18</v>
      </c>
      <c r="B604" s="4" t="s">
        <v>349</v>
      </c>
      <c r="C604" s="5">
        <v>45265</v>
      </c>
      <c r="D604" t="s">
        <v>81</v>
      </c>
      <c r="E604" t="s">
        <v>37</v>
      </c>
      <c r="F604" t="s">
        <v>272</v>
      </c>
      <c r="G604" s="6">
        <v>100</v>
      </c>
      <c r="H604" s="7">
        <v>36.58</v>
      </c>
      <c r="I604" s="7">
        <v>3658</v>
      </c>
    </row>
    <row r="605" spans="1:9" hidden="1" x14ac:dyDescent="0.2">
      <c r="A605" t="s">
        <v>18</v>
      </c>
      <c r="B605" s="4" t="s">
        <v>351</v>
      </c>
      <c r="C605" s="5">
        <v>45261</v>
      </c>
      <c r="D605" t="s">
        <v>24</v>
      </c>
      <c r="E605" t="s">
        <v>289</v>
      </c>
      <c r="F605" t="s">
        <v>272</v>
      </c>
      <c r="G605" s="6">
        <v>550</v>
      </c>
      <c r="H605" s="7">
        <v>1.7000000000000001E-2</v>
      </c>
      <c r="I605" s="7">
        <v>8.06</v>
      </c>
    </row>
    <row r="606" spans="1:9" hidden="1" x14ac:dyDescent="0.2">
      <c r="A606" t="s">
        <v>18</v>
      </c>
      <c r="B606" s="4" t="s">
        <v>351</v>
      </c>
      <c r="C606" s="5">
        <v>45261</v>
      </c>
      <c r="D606" t="s">
        <v>24</v>
      </c>
      <c r="E606" t="s">
        <v>76</v>
      </c>
      <c r="F606" t="s">
        <v>272</v>
      </c>
      <c r="G606" s="6">
        <v>200</v>
      </c>
      <c r="H606" s="7">
        <v>0.76600000000000001</v>
      </c>
      <c r="I606" s="7">
        <v>130.18</v>
      </c>
    </row>
    <row r="607" spans="1:9" hidden="1" x14ac:dyDescent="0.2">
      <c r="A607" t="s">
        <v>18</v>
      </c>
      <c r="B607" s="4" t="s">
        <v>351</v>
      </c>
      <c r="C607" s="5">
        <v>45261</v>
      </c>
      <c r="D607" t="s">
        <v>35</v>
      </c>
      <c r="E607" t="s">
        <v>76</v>
      </c>
      <c r="F607" t="s">
        <v>272</v>
      </c>
      <c r="G607" s="6">
        <v>200</v>
      </c>
      <c r="H607" s="7">
        <v>1.5660000000000001</v>
      </c>
      <c r="I607" s="7">
        <v>313.17</v>
      </c>
    </row>
    <row r="608" spans="1:9" hidden="1" x14ac:dyDescent="0.2">
      <c r="A608" t="s">
        <v>18</v>
      </c>
      <c r="B608" s="4" t="s">
        <v>352</v>
      </c>
      <c r="C608" s="5">
        <v>45260</v>
      </c>
      <c r="D608" t="s">
        <v>35</v>
      </c>
      <c r="E608" t="s">
        <v>107</v>
      </c>
      <c r="F608" t="s">
        <v>272</v>
      </c>
      <c r="G608" s="6">
        <v>300</v>
      </c>
      <c r="H608" s="7">
        <v>0.10199999999999999</v>
      </c>
      <c r="I608" s="7">
        <v>30.59</v>
      </c>
    </row>
    <row r="609" spans="1:9" hidden="1" x14ac:dyDescent="0.2">
      <c r="A609" t="s">
        <v>18</v>
      </c>
      <c r="B609" s="4" t="s">
        <v>352</v>
      </c>
      <c r="C609" s="5">
        <v>45260</v>
      </c>
      <c r="D609" t="s">
        <v>24</v>
      </c>
      <c r="E609" t="s">
        <v>107</v>
      </c>
      <c r="F609" t="s">
        <v>272</v>
      </c>
      <c r="G609" s="6">
        <v>300</v>
      </c>
      <c r="H609" s="7">
        <v>0.68600000000000005</v>
      </c>
      <c r="I609" s="7">
        <v>174.98</v>
      </c>
    </row>
    <row r="610" spans="1:9" hidden="1" x14ac:dyDescent="0.2">
      <c r="A610" t="s">
        <v>18</v>
      </c>
      <c r="B610" s="4" t="s">
        <v>353</v>
      </c>
      <c r="C610" s="5">
        <v>45251</v>
      </c>
      <c r="D610" t="s">
        <v>41</v>
      </c>
      <c r="E610" t="s">
        <v>328</v>
      </c>
      <c r="F610" t="s">
        <v>272</v>
      </c>
      <c r="G610" s="6">
        <v>188</v>
      </c>
      <c r="H610" s="7">
        <v>0.9</v>
      </c>
      <c r="I610" s="7">
        <v>169.2</v>
      </c>
    </row>
    <row r="611" spans="1:9" hidden="1" x14ac:dyDescent="0.2">
      <c r="A611" t="s">
        <v>18</v>
      </c>
      <c r="B611" s="4" t="s">
        <v>353</v>
      </c>
      <c r="C611" s="5">
        <v>45251</v>
      </c>
      <c r="D611" t="s">
        <v>35</v>
      </c>
      <c r="E611" t="s">
        <v>154</v>
      </c>
      <c r="F611" t="s">
        <v>272</v>
      </c>
      <c r="G611" s="6">
        <v>500</v>
      </c>
      <c r="H611" s="7">
        <v>0.20899999999999999</v>
      </c>
      <c r="I611" s="7">
        <v>104.58</v>
      </c>
    </row>
    <row r="612" spans="1:9" hidden="1" x14ac:dyDescent="0.2">
      <c r="A612" t="s">
        <v>18</v>
      </c>
      <c r="B612" s="4" t="s">
        <v>353</v>
      </c>
      <c r="C612" s="5">
        <v>45251</v>
      </c>
      <c r="D612" t="s">
        <v>24</v>
      </c>
      <c r="E612" t="s">
        <v>154</v>
      </c>
      <c r="F612" t="s">
        <v>272</v>
      </c>
      <c r="G612" s="6">
        <v>500</v>
      </c>
      <c r="H612" s="7">
        <v>0.36499999999999999</v>
      </c>
      <c r="I612" s="7">
        <v>155.32</v>
      </c>
    </row>
    <row r="613" spans="1:9" hidden="1" x14ac:dyDescent="0.2">
      <c r="A613" t="s">
        <v>18</v>
      </c>
      <c r="B613" s="4" t="s">
        <v>354</v>
      </c>
      <c r="C613" s="5">
        <v>45250</v>
      </c>
      <c r="D613" t="s">
        <v>41</v>
      </c>
      <c r="E613" t="s">
        <v>331</v>
      </c>
      <c r="F613" t="s">
        <v>272</v>
      </c>
      <c r="G613" s="6">
        <v>187</v>
      </c>
      <c r="H613" s="7">
        <v>0.71199999999999997</v>
      </c>
      <c r="I613" s="7">
        <v>133.16</v>
      </c>
    </row>
    <row r="614" spans="1:9" hidden="1" x14ac:dyDescent="0.2">
      <c r="A614" t="s">
        <v>18</v>
      </c>
      <c r="B614" s="4" t="s">
        <v>355</v>
      </c>
      <c r="C614" s="5">
        <v>45246</v>
      </c>
      <c r="D614" t="s">
        <v>41</v>
      </c>
      <c r="E614" t="s">
        <v>284</v>
      </c>
      <c r="F614" t="s">
        <v>272</v>
      </c>
      <c r="G614" s="6">
        <v>99</v>
      </c>
      <c r="H614" s="7">
        <v>1.1000000000000001</v>
      </c>
      <c r="I614" s="7">
        <v>108.9</v>
      </c>
    </row>
    <row r="615" spans="1:9" hidden="1" x14ac:dyDescent="0.2">
      <c r="A615" t="s">
        <v>18</v>
      </c>
      <c r="B615" s="4" t="s">
        <v>355</v>
      </c>
      <c r="C615" s="5">
        <v>45246</v>
      </c>
      <c r="D615" t="s">
        <v>41</v>
      </c>
      <c r="E615" t="s">
        <v>296</v>
      </c>
      <c r="F615" t="s">
        <v>272</v>
      </c>
      <c r="G615" s="6">
        <v>129</v>
      </c>
      <c r="H615" s="7">
        <v>0.85</v>
      </c>
      <c r="I615" s="7">
        <v>109.65</v>
      </c>
    </row>
    <row r="616" spans="1:9" hidden="1" x14ac:dyDescent="0.2">
      <c r="A616" t="s">
        <v>18</v>
      </c>
      <c r="B616" s="4" t="s">
        <v>355</v>
      </c>
      <c r="C616" s="5">
        <v>45246</v>
      </c>
      <c r="D616" t="s">
        <v>41</v>
      </c>
      <c r="E616" t="s">
        <v>297</v>
      </c>
      <c r="F616" t="s">
        <v>272</v>
      </c>
      <c r="G616" s="6">
        <v>153</v>
      </c>
      <c r="H616" s="7">
        <v>0.85</v>
      </c>
      <c r="I616" s="7">
        <v>130.05000000000001</v>
      </c>
    </row>
    <row r="617" spans="1:9" hidden="1" x14ac:dyDescent="0.2">
      <c r="A617" t="s">
        <v>18</v>
      </c>
      <c r="B617" s="4" t="s">
        <v>355</v>
      </c>
      <c r="C617" s="5">
        <v>45246</v>
      </c>
      <c r="D617" t="s">
        <v>41</v>
      </c>
      <c r="E617" t="s">
        <v>329</v>
      </c>
      <c r="F617" t="s">
        <v>272</v>
      </c>
      <c r="G617" s="6">
        <v>191</v>
      </c>
      <c r="H617" s="7">
        <v>0.28000000000000003</v>
      </c>
      <c r="I617" s="7">
        <v>53.48</v>
      </c>
    </row>
    <row r="618" spans="1:9" hidden="1" x14ac:dyDescent="0.2">
      <c r="A618" t="s">
        <v>18</v>
      </c>
      <c r="B618" s="4" t="s">
        <v>356</v>
      </c>
      <c r="C618" s="5">
        <v>45240</v>
      </c>
      <c r="D618" t="s">
        <v>35</v>
      </c>
      <c r="E618" t="s">
        <v>36</v>
      </c>
      <c r="F618" t="s">
        <v>272</v>
      </c>
      <c r="G618" s="6">
        <v>100</v>
      </c>
      <c r="H618" s="7">
        <v>5.54</v>
      </c>
      <c r="I618" s="7">
        <v>554</v>
      </c>
    </row>
    <row r="619" spans="1:9" hidden="1" x14ac:dyDescent="0.2">
      <c r="A619" t="s">
        <v>18</v>
      </c>
      <c r="B619" s="4" t="s">
        <v>357</v>
      </c>
      <c r="C619" s="5">
        <v>45231</v>
      </c>
      <c r="D619" t="s">
        <v>24</v>
      </c>
      <c r="E619" t="s">
        <v>289</v>
      </c>
      <c r="F619" t="s">
        <v>272</v>
      </c>
      <c r="G619" s="6">
        <v>550</v>
      </c>
      <c r="H619" s="7">
        <v>1.7000000000000001E-2</v>
      </c>
      <c r="I619" s="7">
        <v>8.06</v>
      </c>
    </row>
    <row r="620" spans="1:9" hidden="1" x14ac:dyDescent="0.2">
      <c r="A620" t="s">
        <v>18</v>
      </c>
      <c r="B620" s="4" t="s">
        <v>358</v>
      </c>
      <c r="C620" s="5">
        <v>45230</v>
      </c>
      <c r="D620" t="s">
        <v>24</v>
      </c>
      <c r="E620" t="s">
        <v>57</v>
      </c>
      <c r="F620" t="s">
        <v>272</v>
      </c>
      <c r="G620" s="6">
        <v>830</v>
      </c>
      <c r="H620" s="7">
        <v>0.16900000000000001</v>
      </c>
      <c r="I620" s="7">
        <v>119.38</v>
      </c>
    </row>
    <row r="621" spans="1:9" x14ac:dyDescent="0.2">
      <c r="A621" t="s">
        <v>8</v>
      </c>
      <c r="B621" s="4" t="s">
        <v>359</v>
      </c>
      <c r="C621" s="5">
        <v>45224</v>
      </c>
      <c r="D621" t="s">
        <v>14</v>
      </c>
      <c r="E621" t="s">
        <v>360</v>
      </c>
      <c r="F621" t="s">
        <v>272</v>
      </c>
      <c r="G621" s="6">
        <v>0</v>
      </c>
      <c r="H621" s="7" t="s">
        <v>17</v>
      </c>
      <c r="I621" s="7" t="s">
        <v>17</v>
      </c>
    </row>
    <row r="622" spans="1:9" hidden="1" x14ac:dyDescent="0.2">
      <c r="A622" t="s">
        <v>8</v>
      </c>
      <c r="B622" s="4" t="s">
        <v>359</v>
      </c>
      <c r="C622" s="5">
        <v>45224</v>
      </c>
      <c r="D622" t="s">
        <v>81</v>
      </c>
      <c r="E622" t="s">
        <v>361</v>
      </c>
      <c r="F622" t="s">
        <v>16</v>
      </c>
      <c r="G622" s="6">
        <v>6</v>
      </c>
      <c r="H622" s="7">
        <v>104.87</v>
      </c>
      <c r="I622" s="7">
        <v>629.22</v>
      </c>
    </row>
    <row r="623" spans="1:9" hidden="1" x14ac:dyDescent="0.2">
      <c r="A623" t="s">
        <v>18</v>
      </c>
      <c r="B623" s="4" t="s">
        <v>362</v>
      </c>
      <c r="C623" s="5">
        <v>45223</v>
      </c>
      <c r="D623" t="s">
        <v>20</v>
      </c>
      <c r="E623" t="s">
        <v>360</v>
      </c>
      <c r="F623" t="s">
        <v>272</v>
      </c>
      <c r="G623" s="6">
        <v>70</v>
      </c>
      <c r="H623" s="7" t="s">
        <v>17</v>
      </c>
      <c r="I623" s="7" t="s">
        <v>17</v>
      </c>
    </row>
    <row r="624" spans="1:9" hidden="1" x14ac:dyDescent="0.2">
      <c r="A624" t="s">
        <v>8</v>
      </c>
      <c r="B624" s="4" t="s">
        <v>362</v>
      </c>
      <c r="C624" s="5">
        <v>45223</v>
      </c>
      <c r="D624" t="s">
        <v>21</v>
      </c>
      <c r="E624" t="s">
        <v>360</v>
      </c>
      <c r="F624" t="s">
        <v>272</v>
      </c>
      <c r="G624" s="6">
        <v>70</v>
      </c>
      <c r="H624" s="7" t="s">
        <v>17</v>
      </c>
      <c r="I624" s="7" t="s">
        <v>17</v>
      </c>
    </row>
    <row r="625" spans="1:9" hidden="1" x14ac:dyDescent="0.2">
      <c r="A625" t="s">
        <v>18</v>
      </c>
      <c r="B625" s="4" t="s">
        <v>363</v>
      </c>
      <c r="C625" s="5">
        <v>45218</v>
      </c>
      <c r="D625" t="s">
        <v>41</v>
      </c>
      <c r="E625" t="s">
        <v>328</v>
      </c>
      <c r="F625" t="s">
        <v>272</v>
      </c>
      <c r="G625" s="6">
        <v>188</v>
      </c>
      <c r="H625" s="7">
        <v>0.9</v>
      </c>
      <c r="I625" s="7">
        <v>169.2</v>
      </c>
    </row>
    <row r="626" spans="1:9" hidden="1" x14ac:dyDescent="0.2">
      <c r="A626" t="s">
        <v>18</v>
      </c>
      <c r="B626" s="4" t="s">
        <v>364</v>
      </c>
      <c r="C626" s="5">
        <v>45217</v>
      </c>
      <c r="D626" t="s">
        <v>41</v>
      </c>
      <c r="E626" t="s">
        <v>331</v>
      </c>
      <c r="F626" t="s">
        <v>272</v>
      </c>
      <c r="G626" s="6">
        <v>187</v>
      </c>
      <c r="H626" s="7">
        <v>0.80100000000000005</v>
      </c>
      <c r="I626" s="7">
        <v>149.72</v>
      </c>
    </row>
    <row r="627" spans="1:9" hidden="1" x14ac:dyDescent="0.2">
      <c r="A627" t="s">
        <v>18</v>
      </c>
      <c r="B627" s="4" t="s">
        <v>365</v>
      </c>
      <c r="C627" s="5">
        <v>45215</v>
      </c>
      <c r="D627" t="s">
        <v>41</v>
      </c>
      <c r="E627" t="s">
        <v>284</v>
      </c>
      <c r="F627" t="s">
        <v>272</v>
      </c>
      <c r="G627" s="6">
        <v>99</v>
      </c>
      <c r="H627" s="7">
        <v>1.1000000000000001</v>
      </c>
      <c r="I627" s="7">
        <v>108.9</v>
      </c>
    </row>
    <row r="628" spans="1:9" hidden="1" x14ac:dyDescent="0.2">
      <c r="A628" t="s">
        <v>18</v>
      </c>
      <c r="B628" s="4" t="s">
        <v>365</v>
      </c>
      <c r="C628" s="5">
        <v>45215</v>
      </c>
      <c r="D628" t="s">
        <v>41</v>
      </c>
      <c r="E628" t="s">
        <v>296</v>
      </c>
      <c r="F628" t="s">
        <v>272</v>
      </c>
      <c r="G628" s="6">
        <v>129</v>
      </c>
      <c r="H628" s="7">
        <v>0.85</v>
      </c>
      <c r="I628" s="7">
        <v>109.65</v>
      </c>
    </row>
    <row r="629" spans="1:9" hidden="1" x14ac:dyDescent="0.2">
      <c r="A629" t="s">
        <v>18</v>
      </c>
      <c r="B629" s="4" t="s">
        <v>365</v>
      </c>
      <c r="C629" s="5">
        <v>45215</v>
      </c>
      <c r="D629" t="s">
        <v>41</v>
      </c>
      <c r="E629" t="s">
        <v>297</v>
      </c>
      <c r="F629" t="s">
        <v>272</v>
      </c>
      <c r="G629" s="6">
        <v>153</v>
      </c>
      <c r="H629" s="7">
        <v>0.85</v>
      </c>
      <c r="I629" s="7">
        <v>130.05000000000001</v>
      </c>
    </row>
    <row r="630" spans="1:9" hidden="1" x14ac:dyDescent="0.2">
      <c r="A630" t="s">
        <v>18</v>
      </c>
      <c r="B630" s="4" t="s">
        <v>365</v>
      </c>
      <c r="C630" s="5">
        <v>45215</v>
      </c>
      <c r="D630" t="s">
        <v>41</v>
      </c>
      <c r="E630" t="s">
        <v>329</v>
      </c>
      <c r="F630" t="s">
        <v>272</v>
      </c>
      <c r="G630" s="6">
        <v>191</v>
      </c>
      <c r="H630" s="7">
        <v>0.25</v>
      </c>
      <c r="I630" s="7">
        <v>47.75</v>
      </c>
    </row>
    <row r="631" spans="1:9" x14ac:dyDescent="0.2">
      <c r="A631" t="s">
        <v>18</v>
      </c>
      <c r="B631" s="4" t="s">
        <v>366</v>
      </c>
      <c r="C631" s="5">
        <v>45210</v>
      </c>
      <c r="D631" t="s">
        <v>28</v>
      </c>
      <c r="E631" t="s">
        <v>360</v>
      </c>
      <c r="F631" t="s">
        <v>272</v>
      </c>
      <c r="G631" s="6">
        <v>70</v>
      </c>
      <c r="H631" s="7" t="s">
        <v>17</v>
      </c>
      <c r="I631" s="7" t="s">
        <v>17</v>
      </c>
    </row>
    <row r="632" spans="1:9" hidden="1" x14ac:dyDescent="0.2">
      <c r="A632" t="s">
        <v>8</v>
      </c>
      <c r="B632" s="4" t="s">
        <v>367</v>
      </c>
      <c r="C632" s="5">
        <v>45208</v>
      </c>
      <c r="D632" t="s">
        <v>221</v>
      </c>
      <c r="E632" t="s">
        <v>223</v>
      </c>
      <c r="F632" t="s">
        <v>368</v>
      </c>
      <c r="G632" s="6">
        <v>100</v>
      </c>
      <c r="H632" s="7">
        <v>0.308</v>
      </c>
      <c r="I632" s="7">
        <v>26.17</v>
      </c>
    </row>
    <row r="633" spans="1:9" hidden="1" x14ac:dyDescent="0.2">
      <c r="A633" t="s">
        <v>18</v>
      </c>
      <c r="B633" s="4" t="s">
        <v>367</v>
      </c>
      <c r="C633" s="5">
        <v>45208</v>
      </c>
      <c r="D633" t="s">
        <v>221</v>
      </c>
      <c r="E633" t="s">
        <v>223</v>
      </c>
      <c r="F633" t="s">
        <v>16</v>
      </c>
      <c r="G633" s="6">
        <v>100</v>
      </c>
      <c r="H633" s="7">
        <v>0.308</v>
      </c>
      <c r="I633" s="7">
        <v>26.17</v>
      </c>
    </row>
    <row r="634" spans="1:9" hidden="1" x14ac:dyDescent="0.2">
      <c r="A634" t="s">
        <v>8</v>
      </c>
      <c r="B634" s="4" t="s">
        <v>367</v>
      </c>
      <c r="C634" s="5">
        <v>45208</v>
      </c>
      <c r="D634" t="s">
        <v>224</v>
      </c>
      <c r="E634" t="s">
        <v>154</v>
      </c>
      <c r="F634" t="s">
        <v>368</v>
      </c>
      <c r="G634" s="6">
        <v>500</v>
      </c>
      <c r="H634" s="7">
        <v>2.1000000000000001E-2</v>
      </c>
      <c r="I634" s="7">
        <v>8</v>
      </c>
    </row>
    <row r="635" spans="1:9" hidden="1" x14ac:dyDescent="0.2">
      <c r="A635" t="s">
        <v>8</v>
      </c>
      <c r="B635" s="4" t="s">
        <v>367</v>
      </c>
      <c r="C635" s="5">
        <v>45208</v>
      </c>
      <c r="D635" t="s">
        <v>220</v>
      </c>
      <c r="E635" t="s">
        <v>154</v>
      </c>
      <c r="F635" t="s">
        <v>368</v>
      </c>
      <c r="G635" s="6">
        <v>500</v>
      </c>
      <c r="H635" s="7">
        <v>0.498</v>
      </c>
      <c r="I635" s="7">
        <v>249.03</v>
      </c>
    </row>
    <row r="636" spans="1:9" hidden="1" x14ac:dyDescent="0.2">
      <c r="A636" t="s">
        <v>18</v>
      </c>
      <c r="B636" s="4" t="s">
        <v>367</v>
      </c>
      <c r="C636" s="5">
        <v>45208</v>
      </c>
      <c r="D636" t="s">
        <v>220</v>
      </c>
      <c r="E636" t="s">
        <v>154</v>
      </c>
      <c r="F636" t="s">
        <v>16</v>
      </c>
      <c r="G636" s="6">
        <v>500</v>
      </c>
      <c r="H636" s="7">
        <v>0.498</v>
      </c>
      <c r="I636" s="7">
        <v>249.03</v>
      </c>
    </row>
    <row r="637" spans="1:9" hidden="1" x14ac:dyDescent="0.2">
      <c r="A637" t="s">
        <v>18</v>
      </c>
      <c r="B637" s="4" t="s">
        <v>367</v>
      </c>
      <c r="C637" s="5">
        <v>45208</v>
      </c>
      <c r="D637" t="s">
        <v>224</v>
      </c>
      <c r="E637" t="s">
        <v>154</v>
      </c>
      <c r="F637" t="s">
        <v>16</v>
      </c>
      <c r="G637" s="6">
        <v>500</v>
      </c>
      <c r="H637" s="7">
        <v>2.1000000000000001E-2</v>
      </c>
      <c r="I637" s="7">
        <v>8</v>
      </c>
    </row>
    <row r="638" spans="1:9" hidden="1" x14ac:dyDescent="0.2">
      <c r="A638" t="s">
        <v>8</v>
      </c>
      <c r="B638" s="4" t="s">
        <v>367</v>
      </c>
      <c r="C638" s="5">
        <v>45208</v>
      </c>
      <c r="D638" t="s">
        <v>219</v>
      </c>
      <c r="E638" t="s">
        <v>361</v>
      </c>
      <c r="F638" t="s">
        <v>368</v>
      </c>
      <c r="G638" s="6">
        <v>6</v>
      </c>
      <c r="H638" s="7" t="s">
        <v>17</v>
      </c>
      <c r="I638" s="7" t="s">
        <v>17</v>
      </c>
    </row>
    <row r="639" spans="1:9" hidden="1" x14ac:dyDescent="0.2">
      <c r="A639" t="s">
        <v>18</v>
      </c>
      <c r="B639" s="4" t="s">
        <v>367</v>
      </c>
      <c r="C639" s="5">
        <v>45208</v>
      </c>
      <c r="D639" t="s">
        <v>219</v>
      </c>
      <c r="E639" t="s">
        <v>361</v>
      </c>
      <c r="F639" t="s">
        <v>16</v>
      </c>
      <c r="G639" s="6">
        <v>6</v>
      </c>
      <c r="H639" s="7" t="s">
        <v>17</v>
      </c>
      <c r="I639" s="7" t="s">
        <v>17</v>
      </c>
    </row>
    <row r="640" spans="1:9" hidden="1" x14ac:dyDescent="0.2">
      <c r="A640" t="s">
        <v>18</v>
      </c>
      <c r="B640" s="4" t="s">
        <v>369</v>
      </c>
      <c r="C640" s="5">
        <v>45205</v>
      </c>
      <c r="D640" t="s">
        <v>24</v>
      </c>
      <c r="E640" t="s">
        <v>63</v>
      </c>
      <c r="F640" t="s">
        <v>272</v>
      </c>
      <c r="G640" s="6">
        <v>700</v>
      </c>
      <c r="H640" s="7">
        <v>5.6000000000000001E-2</v>
      </c>
      <c r="I640" s="7">
        <v>33.4</v>
      </c>
    </row>
    <row r="641" spans="1:9" hidden="1" x14ac:dyDescent="0.2">
      <c r="A641" t="s">
        <v>18</v>
      </c>
      <c r="B641" s="4" t="s">
        <v>369</v>
      </c>
      <c r="C641" s="5">
        <v>45205</v>
      </c>
      <c r="D641" t="s">
        <v>35</v>
      </c>
      <c r="E641" t="s">
        <v>63</v>
      </c>
      <c r="F641" t="s">
        <v>272</v>
      </c>
      <c r="G641" s="6">
        <v>700</v>
      </c>
      <c r="H641" s="7">
        <v>0.05</v>
      </c>
      <c r="I641" s="7">
        <v>34.68</v>
      </c>
    </row>
    <row r="642" spans="1:9" hidden="1" x14ac:dyDescent="0.2">
      <c r="A642" t="s">
        <v>18</v>
      </c>
      <c r="B642" s="4" t="s">
        <v>370</v>
      </c>
      <c r="C642" s="5">
        <v>45201</v>
      </c>
      <c r="D642" t="s">
        <v>24</v>
      </c>
      <c r="E642" t="s">
        <v>289</v>
      </c>
      <c r="F642" t="s">
        <v>272</v>
      </c>
      <c r="G642" s="6">
        <v>550</v>
      </c>
      <c r="H642" s="7">
        <v>1.7000000000000001E-2</v>
      </c>
      <c r="I642" s="7">
        <v>8.06</v>
      </c>
    </row>
    <row r="643" spans="1:9" hidden="1" x14ac:dyDescent="0.2">
      <c r="A643" t="s">
        <v>18</v>
      </c>
      <c r="B643" s="4" t="s">
        <v>370</v>
      </c>
      <c r="C643" s="5">
        <v>45201</v>
      </c>
      <c r="D643" t="s">
        <v>35</v>
      </c>
      <c r="E643" t="s">
        <v>361</v>
      </c>
      <c r="F643" t="s">
        <v>368</v>
      </c>
      <c r="G643" s="6">
        <v>6</v>
      </c>
      <c r="H643" s="7">
        <v>2.8849999999999998</v>
      </c>
      <c r="I643" s="7">
        <v>17.3</v>
      </c>
    </row>
    <row r="644" spans="1:9" hidden="1" x14ac:dyDescent="0.2">
      <c r="A644" t="s">
        <v>18</v>
      </c>
      <c r="B644" s="4" t="s">
        <v>371</v>
      </c>
      <c r="C644" s="5">
        <v>45198</v>
      </c>
      <c r="D644" t="s">
        <v>24</v>
      </c>
      <c r="E644" t="s">
        <v>107</v>
      </c>
      <c r="F644" t="s">
        <v>272</v>
      </c>
      <c r="G644" s="6">
        <v>300</v>
      </c>
      <c r="H644" s="7">
        <v>0.33400000000000002</v>
      </c>
      <c r="I644" s="7">
        <v>85.21</v>
      </c>
    </row>
    <row r="645" spans="1:9" hidden="1" x14ac:dyDescent="0.2">
      <c r="A645" t="s">
        <v>18</v>
      </c>
      <c r="B645" s="4" t="s">
        <v>371</v>
      </c>
      <c r="C645" s="5">
        <v>45198</v>
      </c>
      <c r="D645" t="s">
        <v>24</v>
      </c>
      <c r="E645" t="s">
        <v>152</v>
      </c>
      <c r="F645" t="s">
        <v>368</v>
      </c>
      <c r="G645" s="6">
        <v>500</v>
      </c>
      <c r="H645" s="7">
        <v>7.8E-2</v>
      </c>
      <c r="I645" s="7">
        <v>33.14</v>
      </c>
    </row>
    <row r="646" spans="1:9" hidden="1" x14ac:dyDescent="0.2">
      <c r="A646" t="s">
        <v>18</v>
      </c>
      <c r="B646" s="4" t="s">
        <v>371</v>
      </c>
      <c r="C646" s="5">
        <v>45198</v>
      </c>
      <c r="D646" t="s">
        <v>24</v>
      </c>
      <c r="E646" t="s">
        <v>350</v>
      </c>
      <c r="F646" t="s">
        <v>272</v>
      </c>
      <c r="G646" s="6">
        <v>200</v>
      </c>
      <c r="H646" s="7">
        <v>0.05</v>
      </c>
      <c r="I646" s="7">
        <v>8.5</v>
      </c>
    </row>
    <row r="647" spans="1:9" hidden="1" x14ac:dyDescent="0.2">
      <c r="A647" t="s">
        <v>18</v>
      </c>
      <c r="B647" s="4" t="s">
        <v>372</v>
      </c>
      <c r="C647" s="5">
        <v>45195</v>
      </c>
      <c r="D647" t="s">
        <v>35</v>
      </c>
      <c r="E647" t="s">
        <v>44</v>
      </c>
      <c r="F647" t="s">
        <v>368</v>
      </c>
      <c r="G647" s="6">
        <v>300</v>
      </c>
      <c r="H647" s="7">
        <v>1.7829999999999999</v>
      </c>
      <c r="I647" s="7">
        <v>535.03</v>
      </c>
    </row>
    <row r="648" spans="1:9" hidden="1" x14ac:dyDescent="0.2">
      <c r="A648" t="s">
        <v>18</v>
      </c>
      <c r="B648" s="4" t="s">
        <v>373</v>
      </c>
      <c r="C648" s="5">
        <v>45189</v>
      </c>
      <c r="D648" t="s">
        <v>41</v>
      </c>
      <c r="E648" t="s">
        <v>114</v>
      </c>
      <c r="F648" t="s">
        <v>237</v>
      </c>
      <c r="G648" s="6">
        <v>188</v>
      </c>
      <c r="H648" s="7">
        <v>0.9</v>
      </c>
      <c r="I648" s="7">
        <v>169.2</v>
      </c>
    </row>
    <row r="649" spans="1:9" hidden="1" x14ac:dyDescent="0.2">
      <c r="A649" t="s">
        <v>18</v>
      </c>
      <c r="B649" s="4" t="s">
        <v>373</v>
      </c>
      <c r="C649" s="5">
        <v>45189</v>
      </c>
      <c r="D649" t="s">
        <v>35</v>
      </c>
      <c r="E649" t="s">
        <v>154</v>
      </c>
      <c r="F649" t="s">
        <v>237</v>
      </c>
      <c r="G649" s="6">
        <v>500</v>
      </c>
      <c r="H649" s="7">
        <v>0.94699999999999995</v>
      </c>
      <c r="I649" s="7">
        <v>473.39</v>
      </c>
    </row>
    <row r="650" spans="1:9" hidden="1" x14ac:dyDescent="0.2">
      <c r="A650" t="s">
        <v>18</v>
      </c>
      <c r="B650" s="4" t="s">
        <v>374</v>
      </c>
      <c r="C650" s="5">
        <v>45188</v>
      </c>
      <c r="D650" t="s">
        <v>41</v>
      </c>
      <c r="E650" t="s">
        <v>331</v>
      </c>
      <c r="F650" t="s">
        <v>272</v>
      </c>
      <c r="G650" s="6">
        <v>187</v>
      </c>
      <c r="H650" s="7">
        <v>0.74</v>
      </c>
      <c r="I650" s="7">
        <v>138.33000000000001</v>
      </c>
    </row>
    <row r="651" spans="1:9" hidden="1" x14ac:dyDescent="0.2">
      <c r="A651" t="s">
        <v>18</v>
      </c>
      <c r="B651" s="4" t="s">
        <v>375</v>
      </c>
      <c r="C651" s="5">
        <v>45184</v>
      </c>
      <c r="D651" t="s">
        <v>41</v>
      </c>
      <c r="E651" t="s">
        <v>284</v>
      </c>
      <c r="F651" t="s">
        <v>272</v>
      </c>
      <c r="G651" s="6">
        <v>99</v>
      </c>
      <c r="H651" s="7">
        <v>1.1000000000000001</v>
      </c>
      <c r="I651" s="7">
        <v>108.9</v>
      </c>
    </row>
    <row r="652" spans="1:9" hidden="1" x14ac:dyDescent="0.2">
      <c r="A652" t="s">
        <v>18</v>
      </c>
      <c r="B652" s="4" t="s">
        <v>375</v>
      </c>
      <c r="C652" s="5">
        <v>45184</v>
      </c>
      <c r="D652" t="s">
        <v>41</v>
      </c>
      <c r="E652" t="s">
        <v>296</v>
      </c>
      <c r="F652" t="s">
        <v>272</v>
      </c>
      <c r="G652" s="6">
        <v>129</v>
      </c>
      <c r="H652" s="7">
        <v>0.85</v>
      </c>
      <c r="I652" s="7">
        <v>109.65</v>
      </c>
    </row>
    <row r="653" spans="1:9" hidden="1" x14ac:dyDescent="0.2">
      <c r="A653" t="s">
        <v>18</v>
      </c>
      <c r="B653" s="4" t="s">
        <v>375</v>
      </c>
      <c r="C653" s="5">
        <v>45184</v>
      </c>
      <c r="D653" t="s">
        <v>41</v>
      </c>
      <c r="E653" t="s">
        <v>297</v>
      </c>
      <c r="F653" t="s">
        <v>272</v>
      </c>
      <c r="G653" s="6">
        <v>153</v>
      </c>
      <c r="H653" s="7">
        <v>0.85</v>
      </c>
      <c r="I653" s="7">
        <v>130.05000000000001</v>
      </c>
    </row>
    <row r="654" spans="1:9" hidden="1" x14ac:dyDescent="0.2">
      <c r="A654" t="s">
        <v>18</v>
      </c>
      <c r="B654" s="4" t="s">
        <v>375</v>
      </c>
      <c r="C654" s="5">
        <v>45184</v>
      </c>
      <c r="D654" t="s">
        <v>41</v>
      </c>
      <c r="E654" t="s">
        <v>329</v>
      </c>
      <c r="F654" t="s">
        <v>272</v>
      </c>
      <c r="G654" s="6">
        <v>191</v>
      </c>
      <c r="H654" s="7">
        <v>0.25</v>
      </c>
      <c r="I654" s="7">
        <v>47.75</v>
      </c>
    </row>
    <row r="655" spans="1:9" hidden="1" x14ac:dyDescent="0.2">
      <c r="A655" t="s">
        <v>18</v>
      </c>
      <c r="B655" s="4" t="s">
        <v>376</v>
      </c>
      <c r="C655" s="5">
        <v>45170</v>
      </c>
      <c r="D655" t="s">
        <v>24</v>
      </c>
      <c r="E655" t="s">
        <v>289</v>
      </c>
      <c r="F655" t="s">
        <v>272</v>
      </c>
      <c r="G655" s="6">
        <v>550</v>
      </c>
      <c r="H655" s="7">
        <v>1.7000000000000001E-2</v>
      </c>
      <c r="I655" s="7">
        <v>8.06</v>
      </c>
    </row>
    <row r="656" spans="1:9" hidden="1" x14ac:dyDescent="0.2">
      <c r="A656" t="s">
        <v>18</v>
      </c>
      <c r="B656" s="4" t="s">
        <v>376</v>
      </c>
      <c r="C656" s="5">
        <v>45170</v>
      </c>
      <c r="D656" t="s">
        <v>24</v>
      </c>
      <c r="E656" t="s">
        <v>76</v>
      </c>
      <c r="F656" t="s">
        <v>272</v>
      </c>
      <c r="G656" s="6">
        <v>200</v>
      </c>
      <c r="H656" s="7">
        <v>1.9179999999999999</v>
      </c>
      <c r="I656" s="7">
        <v>326.14</v>
      </c>
    </row>
    <row r="657" spans="1:9" hidden="1" x14ac:dyDescent="0.2">
      <c r="A657" t="s">
        <v>18</v>
      </c>
      <c r="B657" s="4" t="s">
        <v>377</v>
      </c>
      <c r="C657" s="5">
        <v>45168</v>
      </c>
      <c r="D657" t="s">
        <v>41</v>
      </c>
      <c r="E657" t="s">
        <v>107</v>
      </c>
      <c r="F657" t="s">
        <v>272</v>
      </c>
      <c r="G657" s="6">
        <v>300</v>
      </c>
      <c r="H657" s="7">
        <v>1.4E-2</v>
      </c>
      <c r="I657" s="7">
        <v>3.3</v>
      </c>
    </row>
    <row r="658" spans="1:9" hidden="1" x14ac:dyDescent="0.2">
      <c r="A658" t="s">
        <v>18</v>
      </c>
      <c r="B658" s="4" t="s">
        <v>377</v>
      </c>
      <c r="C658" s="5">
        <v>45168</v>
      </c>
      <c r="D658" t="s">
        <v>41</v>
      </c>
      <c r="E658" t="s">
        <v>107</v>
      </c>
      <c r="F658" t="s">
        <v>272</v>
      </c>
      <c r="G658" s="6">
        <v>300</v>
      </c>
      <c r="H658" s="7">
        <v>3.0000000000000001E-3</v>
      </c>
      <c r="I658" s="7">
        <v>0.72</v>
      </c>
    </row>
    <row r="659" spans="1:9" hidden="1" x14ac:dyDescent="0.2">
      <c r="A659" t="s">
        <v>18</v>
      </c>
      <c r="B659" s="4" t="s">
        <v>377</v>
      </c>
      <c r="C659" s="5">
        <v>45168</v>
      </c>
      <c r="D659" t="s">
        <v>35</v>
      </c>
      <c r="E659" t="s">
        <v>107</v>
      </c>
      <c r="F659" t="s">
        <v>272</v>
      </c>
      <c r="G659" s="6">
        <v>300</v>
      </c>
      <c r="H659" s="7">
        <v>0.14399999999999999</v>
      </c>
      <c r="I659" s="7">
        <v>43.11</v>
      </c>
    </row>
    <row r="660" spans="1:9" hidden="1" x14ac:dyDescent="0.2">
      <c r="A660" t="s">
        <v>18</v>
      </c>
      <c r="B660" s="4" t="s">
        <v>377</v>
      </c>
      <c r="C660" s="5">
        <v>45168</v>
      </c>
      <c r="D660" t="s">
        <v>24</v>
      </c>
      <c r="E660" t="s">
        <v>107</v>
      </c>
      <c r="F660" t="s">
        <v>272</v>
      </c>
      <c r="G660" s="6">
        <v>300</v>
      </c>
      <c r="H660" s="7">
        <v>0.65500000000000003</v>
      </c>
      <c r="I660" s="7">
        <v>166.93</v>
      </c>
    </row>
    <row r="661" spans="1:9" hidden="1" x14ac:dyDescent="0.2">
      <c r="A661" t="s">
        <v>18</v>
      </c>
      <c r="B661" s="4" t="s">
        <v>378</v>
      </c>
      <c r="C661" s="5">
        <v>45167</v>
      </c>
      <c r="D661" t="s">
        <v>24</v>
      </c>
      <c r="E661" t="s">
        <v>37</v>
      </c>
      <c r="F661" t="s">
        <v>272</v>
      </c>
      <c r="G661" s="6">
        <v>600</v>
      </c>
      <c r="H661" s="7">
        <v>0.628</v>
      </c>
      <c r="I661" s="7">
        <v>320.14</v>
      </c>
    </row>
    <row r="662" spans="1:9" hidden="1" x14ac:dyDescent="0.2">
      <c r="A662" t="s">
        <v>18</v>
      </c>
      <c r="B662" s="4" t="s">
        <v>378</v>
      </c>
      <c r="C662" s="5">
        <v>45167</v>
      </c>
      <c r="D662" t="s">
        <v>35</v>
      </c>
      <c r="E662" t="s">
        <v>37</v>
      </c>
      <c r="F662" t="s">
        <v>272</v>
      </c>
      <c r="G662" s="6">
        <v>600</v>
      </c>
      <c r="H662" s="7">
        <v>0.28199999999999997</v>
      </c>
      <c r="I662" s="7">
        <v>169.27</v>
      </c>
    </row>
    <row r="663" spans="1:9" hidden="1" x14ac:dyDescent="0.2">
      <c r="A663" t="s">
        <v>18</v>
      </c>
      <c r="B663" s="4" t="s">
        <v>378</v>
      </c>
      <c r="C663" s="5">
        <v>45167</v>
      </c>
      <c r="D663" t="s">
        <v>35</v>
      </c>
      <c r="E663" t="s">
        <v>37</v>
      </c>
      <c r="F663" t="s">
        <v>368</v>
      </c>
      <c r="G663" s="6">
        <v>400</v>
      </c>
      <c r="H663" s="7">
        <v>7.5999999999999998E-2</v>
      </c>
      <c r="I663" s="7">
        <v>30.24</v>
      </c>
    </row>
    <row r="664" spans="1:9" hidden="1" x14ac:dyDescent="0.2">
      <c r="A664" t="s">
        <v>18</v>
      </c>
      <c r="B664" s="4" t="s">
        <v>379</v>
      </c>
      <c r="C664" s="5">
        <v>45156</v>
      </c>
      <c r="D664" t="s">
        <v>24</v>
      </c>
      <c r="E664" t="s">
        <v>154</v>
      </c>
      <c r="F664" t="s">
        <v>272</v>
      </c>
      <c r="G664" s="6">
        <v>500</v>
      </c>
      <c r="H664" s="7">
        <v>0.66900000000000004</v>
      </c>
      <c r="I664" s="7">
        <v>284.16000000000003</v>
      </c>
    </row>
    <row r="665" spans="1:9" hidden="1" x14ac:dyDescent="0.2">
      <c r="A665" t="s">
        <v>18</v>
      </c>
      <c r="B665" s="4" t="s">
        <v>379</v>
      </c>
      <c r="C665" s="5">
        <v>45156</v>
      </c>
      <c r="D665" t="s">
        <v>35</v>
      </c>
      <c r="E665" t="s">
        <v>154</v>
      </c>
      <c r="F665" t="s">
        <v>272</v>
      </c>
      <c r="G665" s="6">
        <v>500</v>
      </c>
      <c r="H665" s="7">
        <v>0.27800000000000002</v>
      </c>
      <c r="I665" s="7">
        <v>139.08000000000001</v>
      </c>
    </row>
    <row r="666" spans="1:9" hidden="1" x14ac:dyDescent="0.2">
      <c r="A666" t="s">
        <v>18</v>
      </c>
      <c r="B666" s="4" t="s">
        <v>380</v>
      </c>
      <c r="C666" s="5">
        <v>45155</v>
      </c>
      <c r="D666" t="s">
        <v>41</v>
      </c>
      <c r="E666" t="s">
        <v>328</v>
      </c>
      <c r="F666" t="s">
        <v>272</v>
      </c>
      <c r="G666" s="6">
        <v>188</v>
      </c>
      <c r="H666" s="7">
        <v>0.9</v>
      </c>
      <c r="I666" s="7">
        <v>169.2</v>
      </c>
    </row>
    <row r="667" spans="1:9" hidden="1" x14ac:dyDescent="0.2">
      <c r="A667" t="s">
        <v>18</v>
      </c>
      <c r="B667" s="4" t="s">
        <v>381</v>
      </c>
      <c r="C667" s="5">
        <v>45154</v>
      </c>
      <c r="D667" t="s">
        <v>41</v>
      </c>
      <c r="E667" t="s">
        <v>331</v>
      </c>
      <c r="F667" t="s">
        <v>272</v>
      </c>
      <c r="G667" s="6">
        <v>187</v>
      </c>
      <c r="H667" s="7">
        <v>0.80900000000000005</v>
      </c>
      <c r="I667" s="7">
        <v>151.22</v>
      </c>
    </row>
    <row r="668" spans="1:9" hidden="1" x14ac:dyDescent="0.2">
      <c r="A668" t="s">
        <v>18</v>
      </c>
      <c r="B668" s="4" t="s">
        <v>381</v>
      </c>
      <c r="C668" s="5">
        <v>45154</v>
      </c>
      <c r="D668" t="s">
        <v>24</v>
      </c>
      <c r="E668" t="s">
        <v>129</v>
      </c>
      <c r="F668" t="s">
        <v>272</v>
      </c>
      <c r="G668" s="6">
        <v>800</v>
      </c>
      <c r="H668" s="7">
        <v>5.8000000000000003E-2</v>
      </c>
      <c r="I668" s="7">
        <v>39.64</v>
      </c>
    </row>
    <row r="669" spans="1:9" hidden="1" x14ac:dyDescent="0.2">
      <c r="A669" t="s">
        <v>18</v>
      </c>
      <c r="B669" s="4" t="s">
        <v>381</v>
      </c>
      <c r="C669" s="5">
        <v>45154</v>
      </c>
      <c r="D669" t="s">
        <v>35</v>
      </c>
      <c r="E669" t="s">
        <v>129</v>
      </c>
      <c r="F669" t="s">
        <v>272</v>
      </c>
      <c r="G669" s="6">
        <v>800</v>
      </c>
      <c r="H669" s="7">
        <v>0.14499999999999999</v>
      </c>
      <c r="I669" s="7">
        <v>116.16</v>
      </c>
    </row>
    <row r="670" spans="1:9" hidden="1" x14ac:dyDescent="0.2">
      <c r="A670" t="s">
        <v>18</v>
      </c>
      <c r="B670" s="4" t="s">
        <v>381</v>
      </c>
      <c r="C670" s="5">
        <v>45154</v>
      </c>
      <c r="D670" t="s">
        <v>24</v>
      </c>
      <c r="E670" t="s">
        <v>129</v>
      </c>
      <c r="F670" t="s">
        <v>368</v>
      </c>
      <c r="G670" s="6">
        <v>800</v>
      </c>
      <c r="H670" s="7">
        <v>5.2999999999999999E-2</v>
      </c>
      <c r="I670" s="7">
        <v>36.19</v>
      </c>
    </row>
    <row r="671" spans="1:9" hidden="1" x14ac:dyDescent="0.2">
      <c r="A671" t="s">
        <v>18</v>
      </c>
      <c r="B671" s="4" t="s">
        <v>382</v>
      </c>
      <c r="C671" s="5">
        <v>45152</v>
      </c>
      <c r="D671" t="s">
        <v>41</v>
      </c>
      <c r="E671" t="s">
        <v>284</v>
      </c>
      <c r="F671" t="s">
        <v>272</v>
      </c>
      <c r="G671" s="6">
        <v>99</v>
      </c>
      <c r="H671" s="7">
        <v>1.1000000000000001</v>
      </c>
      <c r="I671" s="7">
        <v>108.9</v>
      </c>
    </row>
    <row r="672" spans="1:9" hidden="1" x14ac:dyDescent="0.2">
      <c r="A672" t="s">
        <v>18</v>
      </c>
      <c r="B672" s="4" t="s">
        <v>382</v>
      </c>
      <c r="C672" s="5">
        <v>45152</v>
      </c>
      <c r="D672" t="s">
        <v>41</v>
      </c>
      <c r="E672" t="s">
        <v>296</v>
      </c>
      <c r="F672" t="s">
        <v>272</v>
      </c>
      <c r="G672" s="6">
        <v>129</v>
      </c>
      <c r="H672" s="7">
        <v>0.85</v>
      </c>
      <c r="I672" s="7">
        <v>109.65</v>
      </c>
    </row>
    <row r="673" spans="1:9" hidden="1" x14ac:dyDescent="0.2">
      <c r="A673" t="s">
        <v>18</v>
      </c>
      <c r="B673" s="4" t="s">
        <v>382</v>
      </c>
      <c r="C673" s="5">
        <v>45152</v>
      </c>
      <c r="D673" t="s">
        <v>41</v>
      </c>
      <c r="E673" t="s">
        <v>297</v>
      </c>
      <c r="F673" t="s">
        <v>272</v>
      </c>
      <c r="G673" s="6">
        <v>153</v>
      </c>
      <c r="H673" s="7">
        <v>0.8</v>
      </c>
      <c r="I673" s="7">
        <v>122.4</v>
      </c>
    </row>
    <row r="674" spans="1:9" hidden="1" x14ac:dyDescent="0.2">
      <c r="A674" t="s">
        <v>18</v>
      </c>
      <c r="B674" s="4" t="s">
        <v>382</v>
      </c>
      <c r="C674" s="5">
        <v>45152</v>
      </c>
      <c r="D674" t="s">
        <v>41</v>
      </c>
      <c r="E674" t="s">
        <v>329</v>
      </c>
      <c r="F674" t="s">
        <v>272</v>
      </c>
      <c r="G674" s="6">
        <v>191</v>
      </c>
      <c r="H674" s="7">
        <v>0.27</v>
      </c>
      <c r="I674" s="7">
        <v>51.57</v>
      </c>
    </row>
    <row r="675" spans="1:9" hidden="1" x14ac:dyDescent="0.2">
      <c r="A675" t="s">
        <v>18</v>
      </c>
      <c r="B675" s="4" t="s">
        <v>383</v>
      </c>
      <c r="C675" s="5">
        <v>45139</v>
      </c>
      <c r="D675" t="s">
        <v>24</v>
      </c>
      <c r="E675" t="s">
        <v>289</v>
      </c>
      <c r="F675" t="s">
        <v>272</v>
      </c>
      <c r="G675" s="6">
        <v>550</v>
      </c>
      <c r="H675" s="7">
        <v>1.7000000000000001E-2</v>
      </c>
      <c r="I675" s="7">
        <v>8.06</v>
      </c>
    </row>
    <row r="676" spans="1:9" hidden="1" x14ac:dyDescent="0.2">
      <c r="A676" t="s">
        <v>18</v>
      </c>
      <c r="B676" s="4" t="s">
        <v>384</v>
      </c>
      <c r="C676" s="5">
        <v>45133</v>
      </c>
      <c r="D676" t="s">
        <v>24</v>
      </c>
      <c r="E676" t="s">
        <v>44</v>
      </c>
      <c r="F676" t="s">
        <v>368</v>
      </c>
      <c r="G676" s="6">
        <v>300</v>
      </c>
      <c r="H676" s="7">
        <v>0.245</v>
      </c>
      <c r="I676" s="7">
        <v>62.5</v>
      </c>
    </row>
    <row r="677" spans="1:9" hidden="1" x14ac:dyDescent="0.2">
      <c r="A677" t="s">
        <v>18</v>
      </c>
      <c r="B677" s="4" t="s">
        <v>385</v>
      </c>
      <c r="C677" s="5">
        <v>45126</v>
      </c>
      <c r="D677" t="s">
        <v>41</v>
      </c>
      <c r="E677" t="s">
        <v>328</v>
      </c>
      <c r="F677" t="s">
        <v>272</v>
      </c>
      <c r="G677" s="6">
        <v>188</v>
      </c>
      <c r="H677" s="7">
        <v>0.95</v>
      </c>
      <c r="I677" s="7">
        <v>178.6</v>
      </c>
    </row>
    <row r="678" spans="1:9" hidden="1" x14ac:dyDescent="0.2">
      <c r="A678" t="s">
        <v>18</v>
      </c>
      <c r="B678" s="4" t="s">
        <v>386</v>
      </c>
      <c r="C678" s="5">
        <v>45125</v>
      </c>
      <c r="D678" t="s">
        <v>41</v>
      </c>
      <c r="E678" t="s">
        <v>133</v>
      </c>
      <c r="F678" t="s">
        <v>237</v>
      </c>
      <c r="G678" s="6">
        <v>187</v>
      </c>
      <c r="H678" s="7">
        <v>0.875</v>
      </c>
      <c r="I678" s="7">
        <v>163.61000000000001</v>
      </c>
    </row>
    <row r="679" spans="1:9" hidden="1" x14ac:dyDescent="0.2">
      <c r="A679" t="s">
        <v>18</v>
      </c>
      <c r="B679" s="4" t="s">
        <v>387</v>
      </c>
      <c r="C679" s="5">
        <v>45121</v>
      </c>
      <c r="D679" t="s">
        <v>41</v>
      </c>
      <c r="E679" t="s">
        <v>284</v>
      </c>
      <c r="F679" t="s">
        <v>272</v>
      </c>
      <c r="G679" s="6">
        <v>99</v>
      </c>
      <c r="H679" s="7">
        <v>1.5</v>
      </c>
      <c r="I679" s="7">
        <v>148.5</v>
      </c>
    </row>
    <row r="680" spans="1:9" hidden="1" x14ac:dyDescent="0.2">
      <c r="A680" t="s">
        <v>18</v>
      </c>
      <c r="B680" s="4" t="s">
        <v>387</v>
      </c>
      <c r="C680" s="5">
        <v>45121</v>
      </c>
      <c r="D680" t="s">
        <v>41</v>
      </c>
      <c r="E680" t="s">
        <v>296</v>
      </c>
      <c r="F680" t="s">
        <v>272</v>
      </c>
      <c r="G680" s="6">
        <v>129</v>
      </c>
      <c r="H680" s="7">
        <v>1.4</v>
      </c>
      <c r="I680" s="7">
        <v>180.6</v>
      </c>
    </row>
    <row r="681" spans="1:9" hidden="1" x14ac:dyDescent="0.2">
      <c r="A681" t="s">
        <v>18</v>
      </c>
      <c r="B681" s="4" t="s">
        <v>387</v>
      </c>
      <c r="C681" s="5">
        <v>45121</v>
      </c>
      <c r="D681" t="s">
        <v>41</v>
      </c>
      <c r="E681" t="s">
        <v>297</v>
      </c>
      <c r="F681" t="s">
        <v>272</v>
      </c>
      <c r="G681" s="6">
        <v>153</v>
      </c>
      <c r="H681" s="7">
        <v>0.8</v>
      </c>
      <c r="I681" s="7">
        <v>122.4</v>
      </c>
    </row>
    <row r="682" spans="1:9" hidden="1" x14ac:dyDescent="0.2">
      <c r="A682" t="s">
        <v>18</v>
      </c>
      <c r="B682" s="4" t="s">
        <v>387</v>
      </c>
      <c r="C682" s="5">
        <v>45121</v>
      </c>
      <c r="D682" t="s">
        <v>41</v>
      </c>
      <c r="E682" t="s">
        <v>329</v>
      </c>
      <c r="F682" t="s">
        <v>272</v>
      </c>
      <c r="G682" s="6">
        <v>191</v>
      </c>
      <c r="H682" s="7">
        <v>0.27</v>
      </c>
      <c r="I682" s="7">
        <v>51.57</v>
      </c>
    </row>
    <row r="683" spans="1:9" hidden="1" x14ac:dyDescent="0.2">
      <c r="A683" t="s">
        <v>18</v>
      </c>
      <c r="B683" s="4" t="s">
        <v>388</v>
      </c>
      <c r="C683" s="5">
        <v>45114</v>
      </c>
      <c r="D683" t="s">
        <v>24</v>
      </c>
      <c r="E683" t="s">
        <v>63</v>
      </c>
      <c r="F683" t="s">
        <v>272</v>
      </c>
      <c r="G683" s="6">
        <v>700</v>
      </c>
      <c r="H683" s="7">
        <v>6.2E-2</v>
      </c>
      <c r="I683" s="7">
        <v>36.65</v>
      </c>
    </row>
    <row r="684" spans="1:9" hidden="1" x14ac:dyDescent="0.2">
      <c r="A684" t="s">
        <v>18</v>
      </c>
      <c r="B684" s="4" t="s">
        <v>388</v>
      </c>
      <c r="C684" s="5">
        <v>45114</v>
      </c>
      <c r="D684" t="s">
        <v>35</v>
      </c>
      <c r="E684" t="s">
        <v>63</v>
      </c>
      <c r="F684" t="s">
        <v>272</v>
      </c>
      <c r="G684" s="6">
        <v>700</v>
      </c>
      <c r="H684" s="7">
        <v>5.3999999999999999E-2</v>
      </c>
      <c r="I684" s="7">
        <v>37.61</v>
      </c>
    </row>
    <row r="685" spans="1:9" hidden="1" x14ac:dyDescent="0.2">
      <c r="A685" t="s">
        <v>18</v>
      </c>
      <c r="B685" s="4" t="s">
        <v>389</v>
      </c>
      <c r="C685" s="5">
        <v>45113</v>
      </c>
      <c r="D685" t="s">
        <v>24</v>
      </c>
      <c r="E685" t="s">
        <v>289</v>
      </c>
      <c r="F685" t="s">
        <v>272</v>
      </c>
      <c r="G685" s="6">
        <v>550</v>
      </c>
      <c r="H685" s="7">
        <v>0.17899999999999999</v>
      </c>
      <c r="I685" s="7">
        <v>83.67</v>
      </c>
    </row>
    <row r="686" spans="1:9" hidden="1" x14ac:dyDescent="0.2">
      <c r="A686" t="s">
        <v>18</v>
      </c>
      <c r="B686" s="4" t="s">
        <v>390</v>
      </c>
      <c r="C686" s="5">
        <v>45110</v>
      </c>
      <c r="D686" t="s">
        <v>24</v>
      </c>
      <c r="E686" t="s">
        <v>289</v>
      </c>
      <c r="F686" t="s">
        <v>272</v>
      </c>
      <c r="G686" s="6">
        <v>550</v>
      </c>
      <c r="H686" s="7">
        <v>1.7000000000000001E-2</v>
      </c>
      <c r="I686" s="7">
        <v>8.06</v>
      </c>
    </row>
    <row r="687" spans="1:9" hidden="1" x14ac:dyDescent="0.2">
      <c r="A687" t="s">
        <v>18</v>
      </c>
      <c r="B687" s="4" t="s">
        <v>391</v>
      </c>
      <c r="C687" s="5">
        <v>45107</v>
      </c>
      <c r="D687" t="s">
        <v>24</v>
      </c>
      <c r="E687" t="s">
        <v>107</v>
      </c>
      <c r="F687" t="s">
        <v>272</v>
      </c>
      <c r="G687" s="6">
        <v>300</v>
      </c>
      <c r="H687" s="7">
        <v>0.33900000000000002</v>
      </c>
      <c r="I687" s="7">
        <v>86.34</v>
      </c>
    </row>
    <row r="688" spans="1:9" hidden="1" x14ac:dyDescent="0.2">
      <c r="A688" t="s">
        <v>18</v>
      </c>
      <c r="B688" s="4" t="s">
        <v>391</v>
      </c>
      <c r="C688" s="5">
        <v>45107</v>
      </c>
      <c r="D688" t="s">
        <v>24</v>
      </c>
      <c r="E688" t="s">
        <v>350</v>
      </c>
      <c r="F688" t="s">
        <v>272</v>
      </c>
      <c r="G688" s="6">
        <v>200</v>
      </c>
      <c r="H688" s="7">
        <v>0.05</v>
      </c>
      <c r="I688" s="7">
        <v>8.5</v>
      </c>
    </row>
    <row r="689" spans="1:9" hidden="1" x14ac:dyDescent="0.2">
      <c r="A689" t="s">
        <v>8</v>
      </c>
      <c r="B689" s="4" t="s">
        <v>392</v>
      </c>
      <c r="C689" s="5">
        <v>45106</v>
      </c>
      <c r="D689" t="s">
        <v>81</v>
      </c>
      <c r="E689" t="s">
        <v>393</v>
      </c>
      <c r="F689" t="s">
        <v>272</v>
      </c>
      <c r="G689" s="6">
        <v>400</v>
      </c>
      <c r="H689" s="7">
        <v>23.54</v>
      </c>
      <c r="I689" s="7">
        <v>9416</v>
      </c>
    </row>
    <row r="690" spans="1:9" hidden="1" x14ac:dyDescent="0.2">
      <c r="A690" t="s">
        <v>18</v>
      </c>
      <c r="B690" s="4" t="s">
        <v>392</v>
      </c>
      <c r="C690" s="5">
        <v>45106</v>
      </c>
      <c r="D690" t="s">
        <v>81</v>
      </c>
      <c r="E690" t="s">
        <v>57</v>
      </c>
      <c r="F690" t="s">
        <v>272</v>
      </c>
      <c r="G690" s="6">
        <v>200</v>
      </c>
      <c r="H690" s="7">
        <v>15.55</v>
      </c>
      <c r="I690" s="7">
        <v>3110</v>
      </c>
    </row>
    <row r="691" spans="1:9" hidden="1" x14ac:dyDescent="0.2">
      <c r="A691" t="s">
        <v>18</v>
      </c>
      <c r="B691" s="4" t="s">
        <v>392</v>
      </c>
      <c r="C691" s="5">
        <v>45106</v>
      </c>
      <c r="D691" t="s">
        <v>81</v>
      </c>
      <c r="E691" t="s">
        <v>223</v>
      </c>
      <c r="F691" t="s">
        <v>272</v>
      </c>
      <c r="G691" s="6">
        <v>100</v>
      </c>
      <c r="H691" s="7">
        <v>42.945</v>
      </c>
      <c r="I691" s="7">
        <v>4294.5</v>
      </c>
    </row>
    <row r="692" spans="1:9" hidden="1" x14ac:dyDescent="0.2">
      <c r="A692" t="s">
        <v>18</v>
      </c>
      <c r="B692" s="4" t="s">
        <v>392</v>
      </c>
      <c r="C692" s="5">
        <v>45106</v>
      </c>
      <c r="D692" t="s">
        <v>81</v>
      </c>
      <c r="E692" t="s">
        <v>37</v>
      </c>
      <c r="F692" t="s">
        <v>272</v>
      </c>
      <c r="G692" s="6">
        <v>200</v>
      </c>
      <c r="H692" s="7">
        <v>37.21</v>
      </c>
      <c r="I692" s="7">
        <v>7442</v>
      </c>
    </row>
    <row r="693" spans="1:9" hidden="1" x14ac:dyDescent="0.2">
      <c r="A693" t="s">
        <v>18</v>
      </c>
      <c r="B693" s="4" t="s">
        <v>392</v>
      </c>
      <c r="C693" s="5">
        <v>45106</v>
      </c>
      <c r="D693" t="s">
        <v>81</v>
      </c>
      <c r="E693" t="s">
        <v>76</v>
      </c>
      <c r="F693" t="s">
        <v>272</v>
      </c>
      <c r="G693" s="6">
        <v>200</v>
      </c>
      <c r="H693" s="7">
        <v>66.75</v>
      </c>
      <c r="I693" s="7">
        <v>13350</v>
      </c>
    </row>
    <row r="694" spans="1:9" hidden="1" x14ac:dyDescent="0.2">
      <c r="A694" t="s">
        <v>18</v>
      </c>
      <c r="B694" s="4" t="s">
        <v>394</v>
      </c>
      <c r="C694" s="5">
        <v>45104</v>
      </c>
      <c r="D694" t="s">
        <v>81</v>
      </c>
      <c r="E694" t="s">
        <v>284</v>
      </c>
      <c r="F694" t="s">
        <v>272</v>
      </c>
      <c r="G694" s="6">
        <v>30</v>
      </c>
      <c r="H694" s="7">
        <v>164.71899999999999</v>
      </c>
      <c r="I694" s="7">
        <v>4941.57</v>
      </c>
    </row>
    <row r="695" spans="1:9" hidden="1" x14ac:dyDescent="0.2">
      <c r="A695" t="s">
        <v>18</v>
      </c>
      <c r="B695" s="4" t="s">
        <v>394</v>
      </c>
      <c r="C695" s="5">
        <v>45104</v>
      </c>
      <c r="D695" t="s">
        <v>81</v>
      </c>
      <c r="E695" t="s">
        <v>296</v>
      </c>
      <c r="F695" t="s">
        <v>272</v>
      </c>
      <c r="G695" s="6">
        <v>38</v>
      </c>
      <c r="H695" s="7">
        <v>131.952</v>
      </c>
      <c r="I695" s="7">
        <v>5014.18</v>
      </c>
    </row>
    <row r="696" spans="1:9" hidden="1" x14ac:dyDescent="0.2">
      <c r="A696" t="s">
        <v>18</v>
      </c>
      <c r="B696" s="4" t="s">
        <v>394</v>
      </c>
      <c r="C696" s="5">
        <v>45104</v>
      </c>
      <c r="D696" t="s">
        <v>81</v>
      </c>
      <c r="E696" t="s">
        <v>331</v>
      </c>
      <c r="F696" t="s">
        <v>272</v>
      </c>
      <c r="G696" s="6">
        <v>57</v>
      </c>
      <c r="H696" s="7">
        <v>87.82</v>
      </c>
      <c r="I696" s="7">
        <v>5005.74</v>
      </c>
    </row>
    <row r="697" spans="1:9" hidden="1" x14ac:dyDescent="0.2">
      <c r="A697" t="s">
        <v>18</v>
      </c>
      <c r="B697" s="4" t="s">
        <v>394</v>
      </c>
      <c r="C697" s="5">
        <v>45104</v>
      </c>
      <c r="D697" t="s">
        <v>81</v>
      </c>
      <c r="E697" t="s">
        <v>297</v>
      </c>
      <c r="F697" t="s">
        <v>272</v>
      </c>
      <c r="G697" s="6">
        <v>44</v>
      </c>
      <c r="H697" s="7">
        <v>113.45099999999999</v>
      </c>
      <c r="I697" s="7">
        <v>4991.84</v>
      </c>
    </row>
    <row r="698" spans="1:9" hidden="1" x14ac:dyDescent="0.2">
      <c r="A698" t="s">
        <v>18</v>
      </c>
      <c r="B698" s="4" t="s">
        <v>394</v>
      </c>
      <c r="C698" s="5">
        <v>45104</v>
      </c>
      <c r="D698" t="s">
        <v>81</v>
      </c>
      <c r="E698" t="s">
        <v>328</v>
      </c>
      <c r="F698" t="s">
        <v>272</v>
      </c>
      <c r="G698" s="6">
        <v>55</v>
      </c>
      <c r="H698" s="7">
        <v>91.186000000000007</v>
      </c>
      <c r="I698" s="7">
        <v>5015.2299999999996</v>
      </c>
    </row>
    <row r="699" spans="1:9" hidden="1" x14ac:dyDescent="0.2">
      <c r="A699" t="s">
        <v>18</v>
      </c>
      <c r="B699" s="4" t="s">
        <v>395</v>
      </c>
      <c r="C699" s="5">
        <v>45099</v>
      </c>
      <c r="D699" t="s">
        <v>98</v>
      </c>
      <c r="E699" t="s">
        <v>226</v>
      </c>
      <c r="F699" t="s">
        <v>272</v>
      </c>
      <c r="G699" s="6">
        <v>10.01</v>
      </c>
      <c r="H699" s="7">
        <v>1246.25</v>
      </c>
      <c r="I699" s="7">
        <v>12474.96</v>
      </c>
    </row>
    <row r="700" spans="1:9" hidden="1" x14ac:dyDescent="0.2">
      <c r="A700" t="s">
        <v>18</v>
      </c>
      <c r="B700" s="4" t="s">
        <v>395</v>
      </c>
      <c r="C700" s="5">
        <v>45099</v>
      </c>
      <c r="D700" t="s">
        <v>98</v>
      </c>
      <c r="E700" t="s">
        <v>227</v>
      </c>
      <c r="F700" t="s">
        <v>272</v>
      </c>
      <c r="G700" s="6">
        <v>22.05</v>
      </c>
      <c r="H700" s="7">
        <v>562.57000000000005</v>
      </c>
      <c r="I700" s="7">
        <v>12404.67</v>
      </c>
    </row>
    <row r="701" spans="1:9" hidden="1" x14ac:dyDescent="0.2">
      <c r="A701" t="s">
        <v>18</v>
      </c>
      <c r="B701" s="4" t="s">
        <v>396</v>
      </c>
      <c r="C701" s="5">
        <v>45097</v>
      </c>
      <c r="D701" t="s">
        <v>41</v>
      </c>
      <c r="E701" t="s">
        <v>328</v>
      </c>
      <c r="F701" t="s">
        <v>272</v>
      </c>
      <c r="G701" s="6">
        <v>133</v>
      </c>
      <c r="H701" s="7">
        <v>0.95</v>
      </c>
      <c r="I701" s="7">
        <v>126.35</v>
      </c>
    </row>
    <row r="702" spans="1:9" hidden="1" x14ac:dyDescent="0.2">
      <c r="A702" t="s">
        <v>18</v>
      </c>
      <c r="B702" s="4" t="s">
        <v>397</v>
      </c>
      <c r="C702" s="5">
        <v>45096</v>
      </c>
      <c r="D702" t="s">
        <v>41</v>
      </c>
      <c r="E702" t="s">
        <v>331</v>
      </c>
      <c r="F702" t="s">
        <v>272</v>
      </c>
      <c r="G702" s="6">
        <v>130</v>
      </c>
      <c r="H702" s="7">
        <v>0.86799999999999999</v>
      </c>
      <c r="I702" s="7">
        <v>112.77</v>
      </c>
    </row>
    <row r="703" spans="1:9" hidden="1" x14ac:dyDescent="0.2">
      <c r="A703" t="s">
        <v>18</v>
      </c>
      <c r="B703" s="4" t="s">
        <v>398</v>
      </c>
      <c r="C703" s="5">
        <v>45093</v>
      </c>
      <c r="D703" t="s">
        <v>41</v>
      </c>
      <c r="E703" t="s">
        <v>154</v>
      </c>
      <c r="F703" t="s">
        <v>368</v>
      </c>
      <c r="G703" s="6">
        <v>500</v>
      </c>
      <c r="H703" s="7">
        <v>5.1999999999999998E-2</v>
      </c>
      <c r="I703" s="7">
        <v>20.2</v>
      </c>
    </row>
    <row r="704" spans="1:9" hidden="1" x14ac:dyDescent="0.2">
      <c r="A704" t="s">
        <v>18</v>
      </c>
      <c r="B704" s="4" t="s">
        <v>398</v>
      </c>
      <c r="C704" s="5">
        <v>45093</v>
      </c>
      <c r="D704" t="s">
        <v>35</v>
      </c>
      <c r="E704" t="s">
        <v>154</v>
      </c>
      <c r="F704" t="s">
        <v>368</v>
      </c>
      <c r="G704" s="6">
        <v>500</v>
      </c>
      <c r="H704" s="7">
        <v>0.875</v>
      </c>
      <c r="I704" s="7">
        <v>437.39</v>
      </c>
    </row>
    <row r="705" spans="1:9" hidden="1" x14ac:dyDescent="0.2">
      <c r="A705" t="s">
        <v>18</v>
      </c>
      <c r="B705" s="4" t="s">
        <v>399</v>
      </c>
      <c r="C705" s="5">
        <v>45092</v>
      </c>
      <c r="D705" t="s">
        <v>41</v>
      </c>
      <c r="E705" t="s">
        <v>284</v>
      </c>
      <c r="F705" t="s">
        <v>272</v>
      </c>
      <c r="G705" s="6">
        <v>69</v>
      </c>
      <c r="H705" s="7">
        <v>1.1000000000000001</v>
      </c>
      <c r="I705" s="7">
        <v>75.900000000000006</v>
      </c>
    </row>
    <row r="706" spans="1:9" hidden="1" x14ac:dyDescent="0.2">
      <c r="A706" t="s">
        <v>18</v>
      </c>
      <c r="B706" s="4" t="s">
        <v>399</v>
      </c>
      <c r="C706" s="5">
        <v>45092</v>
      </c>
      <c r="D706" t="s">
        <v>41</v>
      </c>
      <c r="E706" t="s">
        <v>296</v>
      </c>
      <c r="F706" t="s">
        <v>272</v>
      </c>
      <c r="G706" s="6">
        <v>91</v>
      </c>
      <c r="H706" s="7">
        <v>0.85</v>
      </c>
      <c r="I706" s="7">
        <v>77.349999999999994</v>
      </c>
    </row>
    <row r="707" spans="1:9" hidden="1" x14ac:dyDescent="0.2">
      <c r="A707" t="s">
        <v>18</v>
      </c>
      <c r="B707" s="4" t="s">
        <v>399</v>
      </c>
      <c r="C707" s="5">
        <v>45092</v>
      </c>
      <c r="D707" t="s">
        <v>41</v>
      </c>
      <c r="E707" t="s">
        <v>297</v>
      </c>
      <c r="F707" t="s">
        <v>272</v>
      </c>
      <c r="G707" s="6">
        <v>109</v>
      </c>
      <c r="H707" s="7">
        <v>0.78</v>
      </c>
      <c r="I707" s="7">
        <v>85.02</v>
      </c>
    </row>
    <row r="708" spans="1:9" hidden="1" x14ac:dyDescent="0.2">
      <c r="A708" t="s">
        <v>18</v>
      </c>
      <c r="B708" s="4" t="s">
        <v>399</v>
      </c>
      <c r="C708" s="5">
        <v>45092</v>
      </c>
      <c r="D708" t="s">
        <v>41</v>
      </c>
      <c r="E708" t="s">
        <v>329</v>
      </c>
      <c r="F708" t="s">
        <v>272</v>
      </c>
      <c r="G708" s="6">
        <v>191</v>
      </c>
      <c r="H708" s="7">
        <v>0.27</v>
      </c>
      <c r="I708" s="7">
        <v>51.57</v>
      </c>
    </row>
    <row r="709" spans="1:9" hidden="1" x14ac:dyDescent="0.2">
      <c r="A709" s="12" t="s">
        <v>18</v>
      </c>
      <c r="B709" s="13" t="s">
        <v>400</v>
      </c>
      <c r="C709" s="14">
        <v>45091</v>
      </c>
      <c r="D709" s="12" t="s">
        <v>111</v>
      </c>
      <c r="E709" s="12" t="s">
        <v>57</v>
      </c>
      <c r="F709" s="12" t="s">
        <v>272</v>
      </c>
      <c r="G709" s="15">
        <v>30</v>
      </c>
      <c r="H709" s="16" t="s">
        <v>17</v>
      </c>
      <c r="I709" s="16" t="s">
        <v>17</v>
      </c>
    </row>
    <row r="710" spans="1:9" hidden="1" x14ac:dyDescent="0.2">
      <c r="A710" t="s">
        <v>18</v>
      </c>
      <c r="B710" s="4" t="s">
        <v>401</v>
      </c>
      <c r="C710" s="5">
        <v>45089</v>
      </c>
      <c r="D710" t="s">
        <v>24</v>
      </c>
      <c r="E710" t="s">
        <v>107</v>
      </c>
      <c r="F710" t="s">
        <v>272</v>
      </c>
      <c r="G710" s="6">
        <v>300</v>
      </c>
      <c r="H710" s="7">
        <v>0.65400000000000003</v>
      </c>
      <c r="I710" s="7">
        <v>166.87</v>
      </c>
    </row>
    <row r="711" spans="1:9" hidden="1" x14ac:dyDescent="0.2">
      <c r="A711" t="s">
        <v>18</v>
      </c>
      <c r="B711" s="4" t="s">
        <v>401</v>
      </c>
      <c r="C711" s="5">
        <v>45089</v>
      </c>
      <c r="D711" t="s">
        <v>35</v>
      </c>
      <c r="E711" t="s">
        <v>107</v>
      </c>
      <c r="F711" t="s">
        <v>272</v>
      </c>
      <c r="G711" s="6">
        <v>300</v>
      </c>
      <c r="H711" s="7">
        <v>0.123</v>
      </c>
      <c r="I711" s="7">
        <v>36.9</v>
      </c>
    </row>
    <row r="712" spans="1:9" hidden="1" x14ac:dyDescent="0.2">
      <c r="A712" s="1" t="s">
        <v>18</v>
      </c>
      <c r="B712" s="8" t="s">
        <v>402</v>
      </c>
      <c r="C712" s="9">
        <v>45082</v>
      </c>
      <c r="D712" s="1" t="s">
        <v>31</v>
      </c>
      <c r="E712" s="1" t="s">
        <v>172</v>
      </c>
      <c r="F712" s="1" t="s">
        <v>272</v>
      </c>
      <c r="G712" s="10">
        <v>1100</v>
      </c>
      <c r="H712" s="11" t="s">
        <v>17</v>
      </c>
      <c r="I712" s="11" t="s">
        <v>17</v>
      </c>
    </row>
    <row r="713" spans="1:9" x14ac:dyDescent="0.2">
      <c r="A713" t="s">
        <v>8</v>
      </c>
      <c r="B713" s="4" t="s">
        <v>403</v>
      </c>
      <c r="C713" s="5">
        <v>45079</v>
      </c>
      <c r="D713" t="s">
        <v>14</v>
      </c>
      <c r="E713" t="s">
        <v>404</v>
      </c>
      <c r="F713" t="s">
        <v>272</v>
      </c>
      <c r="G713" s="6">
        <v>0</v>
      </c>
      <c r="H713" s="7" t="s">
        <v>17</v>
      </c>
      <c r="I713" s="7" t="s">
        <v>17</v>
      </c>
    </row>
    <row r="714" spans="1:9" x14ac:dyDescent="0.2">
      <c r="A714" t="s">
        <v>8</v>
      </c>
      <c r="B714" s="4" t="s">
        <v>403</v>
      </c>
      <c r="C714" s="5">
        <v>45079</v>
      </c>
      <c r="D714" t="s">
        <v>14</v>
      </c>
      <c r="E714" t="s">
        <v>404</v>
      </c>
      <c r="F714" t="s">
        <v>368</v>
      </c>
      <c r="G714" s="6">
        <v>0</v>
      </c>
      <c r="H714" s="7" t="s">
        <v>17</v>
      </c>
      <c r="I714" s="7" t="s">
        <v>17</v>
      </c>
    </row>
    <row r="715" spans="1:9" hidden="1" x14ac:dyDescent="0.2">
      <c r="A715" t="s">
        <v>18</v>
      </c>
      <c r="B715" s="4" t="s">
        <v>405</v>
      </c>
      <c r="C715" s="5">
        <v>45078</v>
      </c>
      <c r="D715" t="s">
        <v>24</v>
      </c>
      <c r="E715" t="s">
        <v>289</v>
      </c>
      <c r="F715" t="s">
        <v>368</v>
      </c>
      <c r="G715" s="6">
        <v>550</v>
      </c>
      <c r="H715" s="7">
        <v>1.7000000000000001E-2</v>
      </c>
      <c r="I715" s="7">
        <v>8.06</v>
      </c>
    </row>
    <row r="716" spans="1:9" hidden="1" x14ac:dyDescent="0.2">
      <c r="A716" t="s">
        <v>18</v>
      </c>
      <c r="B716" s="4" t="s">
        <v>405</v>
      </c>
      <c r="C716" s="5">
        <v>45078</v>
      </c>
      <c r="D716" t="s">
        <v>20</v>
      </c>
      <c r="E716" t="s">
        <v>404</v>
      </c>
      <c r="F716" t="s">
        <v>272</v>
      </c>
      <c r="G716" s="6">
        <v>2</v>
      </c>
      <c r="H716" s="7" t="s">
        <v>17</v>
      </c>
      <c r="I716" s="7" t="s">
        <v>17</v>
      </c>
    </row>
    <row r="717" spans="1:9" hidden="1" x14ac:dyDescent="0.2">
      <c r="A717" t="s">
        <v>8</v>
      </c>
      <c r="B717" s="4" t="s">
        <v>405</v>
      </c>
      <c r="C717" s="5">
        <v>45078</v>
      </c>
      <c r="D717" t="s">
        <v>21</v>
      </c>
      <c r="E717" t="s">
        <v>404</v>
      </c>
      <c r="F717" t="s">
        <v>272</v>
      </c>
      <c r="G717" s="6">
        <v>2</v>
      </c>
      <c r="H717" s="7" t="s">
        <v>17</v>
      </c>
      <c r="I717" s="7" t="s">
        <v>17</v>
      </c>
    </row>
    <row r="718" spans="1:9" hidden="1" x14ac:dyDescent="0.2">
      <c r="A718" t="s">
        <v>8</v>
      </c>
      <c r="B718" s="4" t="s">
        <v>405</v>
      </c>
      <c r="C718" s="5">
        <v>45078</v>
      </c>
      <c r="D718" t="s">
        <v>21</v>
      </c>
      <c r="E718" t="s">
        <v>404</v>
      </c>
      <c r="F718" t="s">
        <v>368</v>
      </c>
      <c r="G718" s="6">
        <v>26</v>
      </c>
      <c r="H718" s="7" t="s">
        <v>17</v>
      </c>
      <c r="I718" s="7" t="s">
        <v>17</v>
      </c>
    </row>
    <row r="719" spans="1:9" hidden="1" x14ac:dyDescent="0.2">
      <c r="A719" t="s">
        <v>18</v>
      </c>
      <c r="B719" s="4" t="s">
        <v>405</v>
      </c>
      <c r="C719" s="5">
        <v>45078</v>
      </c>
      <c r="D719" t="s">
        <v>20</v>
      </c>
      <c r="E719" t="s">
        <v>404</v>
      </c>
      <c r="F719" t="s">
        <v>368</v>
      </c>
      <c r="G719" s="6">
        <v>26</v>
      </c>
      <c r="H719" s="7" t="s">
        <v>17</v>
      </c>
      <c r="I719" s="7" t="s">
        <v>17</v>
      </c>
    </row>
    <row r="720" spans="1:9" hidden="1" x14ac:dyDescent="0.2">
      <c r="A720" t="s">
        <v>18</v>
      </c>
      <c r="B720" s="4" t="s">
        <v>406</v>
      </c>
      <c r="C720" s="5">
        <v>45077</v>
      </c>
      <c r="D720" t="s">
        <v>219</v>
      </c>
      <c r="E720" t="s">
        <v>63</v>
      </c>
      <c r="F720" t="s">
        <v>272</v>
      </c>
      <c r="G720" s="6">
        <v>700</v>
      </c>
      <c r="H720" s="7" t="s">
        <v>17</v>
      </c>
      <c r="I720" s="7" t="s">
        <v>17</v>
      </c>
    </row>
    <row r="721" spans="1:9" hidden="1" x14ac:dyDescent="0.2">
      <c r="A721" t="s">
        <v>8</v>
      </c>
      <c r="B721" s="4" t="s">
        <v>406</v>
      </c>
      <c r="C721" s="5">
        <v>45077</v>
      </c>
      <c r="D721" t="s">
        <v>219</v>
      </c>
      <c r="E721" t="s">
        <v>63</v>
      </c>
      <c r="F721" t="s">
        <v>368</v>
      </c>
      <c r="G721" s="6">
        <v>700</v>
      </c>
      <c r="H721" s="7" t="s">
        <v>17</v>
      </c>
      <c r="I721" s="7" t="s">
        <v>17</v>
      </c>
    </row>
    <row r="722" spans="1:9" hidden="1" x14ac:dyDescent="0.2">
      <c r="A722" t="s">
        <v>18</v>
      </c>
      <c r="B722" s="4" t="s">
        <v>406</v>
      </c>
      <c r="C722" s="5">
        <v>45077</v>
      </c>
      <c r="D722" t="s">
        <v>219</v>
      </c>
      <c r="E722" t="s">
        <v>107</v>
      </c>
      <c r="F722" t="s">
        <v>272</v>
      </c>
      <c r="G722" s="6">
        <v>300</v>
      </c>
      <c r="H722" s="7" t="s">
        <v>17</v>
      </c>
      <c r="I722" s="7" t="s">
        <v>17</v>
      </c>
    </row>
    <row r="723" spans="1:9" hidden="1" x14ac:dyDescent="0.2">
      <c r="A723" t="s">
        <v>8</v>
      </c>
      <c r="B723" s="4" t="s">
        <v>406</v>
      </c>
      <c r="C723" s="5">
        <v>45077</v>
      </c>
      <c r="D723" t="s">
        <v>219</v>
      </c>
      <c r="E723" t="s">
        <v>107</v>
      </c>
      <c r="F723" t="s">
        <v>368</v>
      </c>
      <c r="G723" s="6">
        <v>300</v>
      </c>
      <c r="H723" s="7" t="s">
        <v>17</v>
      </c>
      <c r="I723" s="7" t="s">
        <v>17</v>
      </c>
    </row>
    <row r="724" spans="1:9" hidden="1" x14ac:dyDescent="0.2">
      <c r="A724" t="s">
        <v>18</v>
      </c>
      <c r="B724" s="4" t="s">
        <v>406</v>
      </c>
      <c r="C724" s="5">
        <v>45077</v>
      </c>
      <c r="D724" t="s">
        <v>219</v>
      </c>
      <c r="E724" t="s">
        <v>289</v>
      </c>
      <c r="F724" t="s">
        <v>272</v>
      </c>
      <c r="G724" s="6">
        <v>550</v>
      </c>
      <c r="H724" s="7" t="s">
        <v>17</v>
      </c>
      <c r="I724" s="7" t="s">
        <v>17</v>
      </c>
    </row>
    <row r="725" spans="1:9" hidden="1" x14ac:dyDescent="0.2">
      <c r="A725" t="s">
        <v>8</v>
      </c>
      <c r="B725" s="4" t="s">
        <v>406</v>
      </c>
      <c r="C725" s="5">
        <v>45077</v>
      </c>
      <c r="D725" t="s">
        <v>219</v>
      </c>
      <c r="E725" t="s">
        <v>289</v>
      </c>
      <c r="F725" t="s">
        <v>368</v>
      </c>
      <c r="G725" s="6">
        <v>550</v>
      </c>
      <c r="H725" s="7" t="s">
        <v>17</v>
      </c>
      <c r="I725" s="7" t="s">
        <v>17</v>
      </c>
    </row>
    <row r="726" spans="1:9" hidden="1" x14ac:dyDescent="0.2">
      <c r="A726" t="s">
        <v>18</v>
      </c>
      <c r="B726" s="4" t="s">
        <v>406</v>
      </c>
      <c r="C726" s="5">
        <v>45077</v>
      </c>
      <c r="D726" t="s">
        <v>219</v>
      </c>
      <c r="E726" t="s">
        <v>44</v>
      </c>
      <c r="F726" t="s">
        <v>272</v>
      </c>
      <c r="G726" s="6">
        <v>300</v>
      </c>
      <c r="H726" s="7" t="s">
        <v>17</v>
      </c>
      <c r="I726" s="7" t="s">
        <v>17</v>
      </c>
    </row>
    <row r="727" spans="1:9" hidden="1" x14ac:dyDescent="0.2">
      <c r="A727" t="s">
        <v>8</v>
      </c>
      <c r="B727" s="4" t="s">
        <v>406</v>
      </c>
      <c r="C727" s="5">
        <v>45077</v>
      </c>
      <c r="D727" t="s">
        <v>219</v>
      </c>
      <c r="E727" t="s">
        <v>44</v>
      </c>
      <c r="F727" t="s">
        <v>368</v>
      </c>
      <c r="G727" s="6">
        <v>300</v>
      </c>
      <c r="H727" s="7" t="s">
        <v>17</v>
      </c>
      <c r="I727" s="7" t="s">
        <v>17</v>
      </c>
    </row>
    <row r="728" spans="1:9" hidden="1" x14ac:dyDescent="0.2">
      <c r="A728" t="s">
        <v>18</v>
      </c>
      <c r="B728" s="4" t="s">
        <v>406</v>
      </c>
      <c r="C728" s="5">
        <v>45077</v>
      </c>
      <c r="D728" t="s">
        <v>219</v>
      </c>
      <c r="E728" t="s">
        <v>393</v>
      </c>
      <c r="F728" t="s">
        <v>272</v>
      </c>
      <c r="G728" s="6">
        <v>400</v>
      </c>
      <c r="H728" s="7" t="s">
        <v>17</v>
      </c>
      <c r="I728" s="7" t="s">
        <v>17</v>
      </c>
    </row>
    <row r="729" spans="1:9" hidden="1" x14ac:dyDescent="0.2">
      <c r="A729" t="s">
        <v>8</v>
      </c>
      <c r="B729" s="4" t="s">
        <v>406</v>
      </c>
      <c r="C729" s="5">
        <v>45077</v>
      </c>
      <c r="D729" t="s">
        <v>219</v>
      </c>
      <c r="E729" t="s">
        <v>393</v>
      </c>
      <c r="F729" t="s">
        <v>368</v>
      </c>
      <c r="G729" s="6">
        <v>400</v>
      </c>
      <c r="H729" s="7" t="s">
        <v>17</v>
      </c>
      <c r="I729" s="7" t="s">
        <v>17</v>
      </c>
    </row>
    <row r="730" spans="1:9" hidden="1" x14ac:dyDescent="0.2">
      <c r="A730" t="s">
        <v>18</v>
      </c>
      <c r="B730" s="4" t="s">
        <v>406</v>
      </c>
      <c r="C730" s="5">
        <v>45077</v>
      </c>
      <c r="D730" t="s">
        <v>219</v>
      </c>
      <c r="E730" t="s">
        <v>152</v>
      </c>
      <c r="F730" t="s">
        <v>272</v>
      </c>
      <c r="G730" s="6">
        <v>500</v>
      </c>
      <c r="H730" s="7" t="s">
        <v>17</v>
      </c>
      <c r="I730" s="7" t="s">
        <v>17</v>
      </c>
    </row>
    <row r="731" spans="1:9" hidden="1" x14ac:dyDescent="0.2">
      <c r="A731" t="s">
        <v>8</v>
      </c>
      <c r="B731" s="4" t="s">
        <v>406</v>
      </c>
      <c r="C731" s="5">
        <v>45077</v>
      </c>
      <c r="D731" t="s">
        <v>219</v>
      </c>
      <c r="E731" t="s">
        <v>152</v>
      </c>
      <c r="F731" t="s">
        <v>368</v>
      </c>
      <c r="G731" s="6">
        <v>500</v>
      </c>
      <c r="H731" s="7" t="s">
        <v>17</v>
      </c>
      <c r="I731" s="7" t="s">
        <v>17</v>
      </c>
    </row>
    <row r="732" spans="1:9" hidden="1" x14ac:dyDescent="0.2">
      <c r="A732" t="s">
        <v>18</v>
      </c>
      <c r="B732" s="4" t="s">
        <v>406</v>
      </c>
      <c r="C732" s="5">
        <v>45077</v>
      </c>
      <c r="D732" t="s">
        <v>219</v>
      </c>
      <c r="E732" t="s">
        <v>57</v>
      </c>
      <c r="F732" t="s">
        <v>272</v>
      </c>
      <c r="G732" s="6">
        <v>600</v>
      </c>
      <c r="H732" s="7" t="s">
        <v>17</v>
      </c>
      <c r="I732" s="7" t="s">
        <v>17</v>
      </c>
    </row>
    <row r="733" spans="1:9" hidden="1" x14ac:dyDescent="0.2">
      <c r="A733" t="s">
        <v>8</v>
      </c>
      <c r="B733" s="4" t="s">
        <v>406</v>
      </c>
      <c r="C733" s="5">
        <v>45077</v>
      </c>
      <c r="D733" t="s">
        <v>219</v>
      </c>
      <c r="E733" t="s">
        <v>57</v>
      </c>
      <c r="F733" t="s">
        <v>368</v>
      </c>
      <c r="G733" s="6">
        <v>600</v>
      </c>
      <c r="H733" s="7" t="s">
        <v>17</v>
      </c>
      <c r="I733" s="7" t="s">
        <v>17</v>
      </c>
    </row>
    <row r="734" spans="1:9" hidden="1" x14ac:dyDescent="0.2">
      <c r="A734" t="s">
        <v>18</v>
      </c>
      <c r="B734" s="4" t="s">
        <v>406</v>
      </c>
      <c r="C734" s="5">
        <v>45077</v>
      </c>
      <c r="D734" t="s">
        <v>219</v>
      </c>
      <c r="E734" t="s">
        <v>284</v>
      </c>
      <c r="F734" t="s">
        <v>272</v>
      </c>
      <c r="G734" s="6">
        <v>64</v>
      </c>
      <c r="H734" s="7" t="s">
        <v>17</v>
      </c>
      <c r="I734" s="7" t="s">
        <v>17</v>
      </c>
    </row>
    <row r="735" spans="1:9" hidden="1" x14ac:dyDescent="0.2">
      <c r="A735" t="s">
        <v>8</v>
      </c>
      <c r="B735" s="4" t="s">
        <v>406</v>
      </c>
      <c r="C735" s="5">
        <v>45077</v>
      </c>
      <c r="D735" t="s">
        <v>219</v>
      </c>
      <c r="E735" t="s">
        <v>284</v>
      </c>
      <c r="F735" t="s">
        <v>368</v>
      </c>
      <c r="G735" s="6">
        <v>64</v>
      </c>
      <c r="H735" s="7" t="s">
        <v>17</v>
      </c>
      <c r="I735" s="7" t="s">
        <v>17</v>
      </c>
    </row>
    <row r="736" spans="1:9" hidden="1" x14ac:dyDescent="0.2">
      <c r="A736" t="s">
        <v>18</v>
      </c>
      <c r="B736" s="4" t="s">
        <v>406</v>
      </c>
      <c r="C736" s="5">
        <v>45077</v>
      </c>
      <c r="D736" t="s">
        <v>219</v>
      </c>
      <c r="E736" t="s">
        <v>296</v>
      </c>
      <c r="F736" t="s">
        <v>272</v>
      </c>
      <c r="G736" s="6">
        <v>89</v>
      </c>
      <c r="H736" s="7" t="s">
        <v>17</v>
      </c>
      <c r="I736" s="7" t="s">
        <v>17</v>
      </c>
    </row>
    <row r="737" spans="1:9" hidden="1" x14ac:dyDescent="0.2">
      <c r="A737" t="s">
        <v>8</v>
      </c>
      <c r="B737" s="4" t="s">
        <v>406</v>
      </c>
      <c r="C737" s="5">
        <v>45077</v>
      </c>
      <c r="D737" t="s">
        <v>219</v>
      </c>
      <c r="E737" t="s">
        <v>296</v>
      </c>
      <c r="F737" t="s">
        <v>368</v>
      </c>
      <c r="G737" s="6">
        <v>89</v>
      </c>
      <c r="H737" s="7" t="s">
        <v>17</v>
      </c>
      <c r="I737" s="7" t="s">
        <v>17</v>
      </c>
    </row>
    <row r="738" spans="1:9" hidden="1" x14ac:dyDescent="0.2">
      <c r="A738" t="s">
        <v>18</v>
      </c>
      <c r="B738" s="4" t="s">
        <v>406</v>
      </c>
      <c r="C738" s="5">
        <v>45077</v>
      </c>
      <c r="D738" t="s">
        <v>219</v>
      </c>
      <c r="E738" t="s">
        <v>223</v>
      </c>
      <c r="F738" t="s">
        <v>272</v>
      </c>
      <c r="G738" s="6">
        <v>100</v>
      </c>
      <c r="H738" s="7" t="s">
        <v>17</v>
      </c>
      <c r="I738" s="7" t="s">
        <v>17</v>
      </c>
    </row>
    <row r="739" spans="1:9" hidden="1" x14ac:dyDescent="0.2">
      <c r="A739" t="s">
        <v>8</v>
      </c>
      <c r="B739" s="4" t="s">
        <v>406</v>
      </c>
      <c r="C739" s="5">
        <v>45077</v>
      </c>
      <c r="D739" t="s">
        <v>219</v>
      </c>
      <c r="E739" t="s">
        <v>223</v>
      </c>
      <c r="F739" t="s">
        <v>368</v>
      </c>
      <c r="G739" s="6">
        <v>100</v>
      </c>
      <c r="H739" s="7" t="s">
        <v>17</v>
      </c>
      <c r="I739" s="7" t="s">
        <v>17</v>
      </c>
    </row>
    <row r="740" spans="1:9" hidden="1" x14ac:dyDescent="0.2">
      <c r="A740" t="s">
        <v>18</v>
      </c>
      <c r="B740" s="4" t="s">
        <v>406</v>
      </c>
      <c r="C740" s="5">
        <v>45077</v>
      </c>
      <c r="D740" t="s">
        <v>219</v>
      </c>
      <c r="E740" t="s">
        <v>331</v>
      </c>
      <c r="F740" t="s">
        <v>272</v>
      </c>
      <c r="G740" s="6">
        <v>112</v>
      </c>
      <c r="H740" s="7" t="s">
        <v>17</v>
      </c>
      <c r="I740" s="7" t="s">
        <v>17</v>
      </c>
    </row>
    <row r="741" spans="1:9" hidden="1" x14ac:dyDescent="0.2">
      <c r="A741" t="s">
        <v>8</v>
      </c>
      <c r="B741" s="4" t="s">
        <v>406</v>
      </c>
      <c r="C741" s="5">
        <v>45077</v>
      </c>
      <c r="D741" t="s">
        <v>219</v>
      </c>
      <c r="E741" t="s">
        <v>331</v>
      </c>
      <c r="F741" t="s">
        <v>368</v>
      </c>
      <c r="G741" s="6">
        <v>112</v>
      </c>
      <c r="H741" s="7" t="s">
        <v>17</v>
      </c>
      <c r="I741" s="7" t="s">
        <v>17</v>
      </c>
    </row>
    <row r="742" spans="1:9" hidden="1" x14ac:dyDescent="0.2">
      <c r="A742" t="s">
        <v>18</v>
      </c>
      <c r="B742" s="4" t="s">
        <v>406</v>
      </c>
      <c r="C742" s="5">
        <v>45077</v>
      </c>
      <c r="D742" t="s">
        <v>219</v>
      </c>
      <c r="E742" t="s">
        <v>36</v>
      </c>
      <c r="F742" t="s">
        <v>272</v>
      </c>
      <c r="G742" s="6">
        <v>100</v>
      </c>
      <c r="H742" s="7" t="s">
        <v>17</v>
      </c>
      <c r="I742" s="7" t="s">
        <v>17</v>
      </c>
    </row>
    <row r="743" spans="1:9" hidden="1" x14ac:dyDescent="0.2">
      <c r="A743" t="s">
        <v>8</v>
      </c>
      <c r="B743" s="4" t="s">
        <v>406</v>
      </c>
      <c r="C743" s="5">
        <v>45077</v>
      </c>
      <c r="D743" t="s">
        <v>219</v>
      </c>
      <c r="E743" t="s">
        <v>36</v>
      </c>
      <c r="F743" t="s">
        <v>368</v>
      </c>
      <c r="G743" s="6">
        <v>100</v>
      </c>
      <c r="H743" s="7" t="s">
        <v>17</v>
      </c>
      <c r="I743" s="7" t="s">
        <v>17</v>
      </c>
    </row>
    <row r="744" spans="1:9" hidden="1" x14ac:dyDescent="0.2">
      <c r="A744" t="s">
        <v>18</v>
      </c>
      <c r="B744" s="4" t="s">
        <v>406</v>
      </c>
      <c r="C744" s="5">
        <v>45077</v>
      </c>
      <c r="D744" t="s">
        <v>219</v>
      </c>
      <c r="E744" t="s">
        <v>297</v>
      </c>
      <c r="F744" t="s">
        <v>272</v>
      </c>
      <c r="G744" s="6">
        <v>103</v>
      </c>
      <c r="H744" s="7" t="s">
        <v>17</v>
      </c>
      <c r="I744" s="7" t="s">
        <v>17</v>
      </c>
    </row>
    <row r="745" spans="1:9" hidden="1" x14ac:dyDescent="0.2">
      <c r="A745" t="s">
        <v>8</v>
      </c>
      <c r="B745" s="4" t="s">
        <v>406</v>
      </c>
      <c r="C745" s="5">
        <v>45077</v>
      </c>
      <c r="D745" t="s">
        <v>219</v>
      </c>
      <c r="E745" t="s">
        <v>297</v>
      </c>
      <c r="F745" t="s">
        <v>368</v>
      </c>
      <c r="G745" s="6">
        <v>103</v>
      </c>
      <c r="H745" s="7" t="s">
        <v>17</v>
      </c>
      <c r="I745" s="7" t="s">
        <v>17</v>
      </c>
    </row>
    <row r="746" spans="1:9" hidden="1" x14ac:dyDescent="0.2">
      <c r="A746" t="s">
        <v>18</v>
      </c>
      <c r="B746" s="4" t="s">
        <v>406</v>
      </c>
      <c r="C746" s="5">
        <v>45077</v>
      </c>
      <c r="D746" t="s">
        <v>219</v>
      </c>
      <c r="E746" t="s">
        <v>328</v>
      </c>
      <c r="F746" t="s">
        <v>272</v>
      </c>
      <c r="G746" s="6">
        <v>114</v>
      </c>
      <c r="H746" s="7" t="s">
        <v>17</v>
      </c>
      <c r="I746" s="7" t="s">
        <v>17</v>
      </c>
    </row>
    <row r="747" spans="1:9" hidden="1" x14ac:dyDescent="0.2">
      <c r="A747" t="s">
        <v>8</v>
      </c>
      <c r="B747" s="4" t="s">
        <v>406</v>
      </c>
      <c r="C747" s="5">
        <v>45077</v>
      </c>
      <c r="D747" t="s">
        <v>219</v>
      </c>
      <c r="E747" t="s">
        <v>328</v>
      </c>
      <c r="F747" t="s">
        <v>368</v>
      </c>
      <c r="G747" s="6">
        <v>114</v>
      </c>
      <c r="H747" s="7" t="s">
        <v>17</v>
      </c>
      <c r="I747" s="7" t="s">
        <v>17</v>
      </c>
    </row>
    <row r="748" spans="1:9" hidden="1" x14ac:dyDescent="0.2">
      <c r="A748" t="s">
        <v>18</v>
      </c>
      <c r="B748" s="4" t="s">
        <v>406</v>
      </c>
      <c r="C748" s="5">
        <v>45077</v>
      </c>
      <c r="D748" t="s">
        <v>219</v>
      </c>
      <c r="E748" t="s">
        <v>350</v>
      </c>
      <c r="F748" t="s">
        <v>272</v>
      </c>
      <c r="G748" s="6">
        <v>200</v>
      </c>
      <c r="H748" s="7" t="s">
        <v>17</v>
      </c>
      <c r="I748" s="7" t="s">
        <v>17</v>
      </c>
    </row>
    <row r="749" spans="1:9" hidden="1" x14ac:dyDescent="0.2">
      <c r="A749" t="s">
        <v>8</v>
      </c>
      <c r="B749" s="4" t="s">
        <v>406</v>
      </c>
      <c r="C749" s="5">
        <v>45077</v>
      </c>
      <c r="D749" t="s">
        <v>219</v>
      </c>
      <c r="E749" t="s">
        <v>350</v>
      </c>
      <c r="F749" t="s">
        <v>368</v>
      </c>
      <c r="G749" s="6">
        <v>200</v>
      </c>
      <c r="H749" s="7" t="s">
        <v>17</v>
      </c>
      <c r="I749" s="7" t="s">
        <v>17</v>
      </c>
    </row>
    <row r="750" spans="1:9" hidden="1" x14ac:dyDescent="0.2">
      <c r="A750" t="s">
        <v>18</v>
      </c>
      <c r="B750" s="4" t="s">
        <v>406</v>
      </c>
      <c r="C750" s="5">
        <v>45077</v>
      </c>
      <c r="D750" t="s">
        <v>219</v>
      </c>
      <c r="E750" t="s">
        <v>172</v>
      </c>
      <c r="F750" t="s">
        <v>272</v>
      </c>
      <c r="G750" s="6">
        <v>1100</v>
      </c>
      <c r="H750" s="7" t="s">
        <v>17</v>
      </c>
      <c r="I750" s="7" t="s">
        <v>17</v>
      </c>
    </row>
    <row r="751" spans="1:9" hidden="1" x14ac:dyDescent="0.2">
      <c r="A751" t="s">
        <v>8</v>
      </c>
      <c r="B751" s="4" t="s">
        <v>406</v>
      </c>
      <c r="C751" s="5">
        <v>45077</v>
      </c>
      <c r="D751" t="s">
        <v>219</v>
      </c>
      <c r="E751" t="s">
        <v>172</v>
      </c>
      <c r="F751" t="s">
        <v>368</v>
      </c>
      <c r="G751" s="6">
        <v>1100</v>
      </c>
      <c r="H751" s="7" t="s">
        <v>17</v>
      </c>
      <c r="I751" s="7" t="s">
        <v>17</v>
      </c>
    </row>
    <row r="752" spans="1:9" hidden="1" x14ac:dyDescent="0.2">
      <c r="A752" t="s">
        <v>18</v>
      </c>
      <c r="B752" s="4" t="s">
        <v>406</v>
      </c>
      <c r="C752" s="5">
        <v>45077</v>
      </c>
      <c r="D752" t="s">
        <v>219</v>
      </c>
      <c r="E752" t="s">
        <v>154</v>
      </c>
      <c r="F752" t="s">
        <v>272</v>
      </c>
      <c r="G752" s="6">
        <v>500</v>
      </c>
      <c r="H752" s="7" t="s">
        <v>17</v>
      </c>
      <c r="I752" s="7" t="s">
        <v>17</v>
      </c>
    </row>
    <row r="753" spans="1:9" hidden="1" x14ac:dyDescent="0.2">
      <c r="A753" t="s">
        <v>8</v>
      </c>
      <c r="B753" s="4" t="s">
        <v>406</v>
      </c>
      <c r="C753" s="5">
        <v>45077</v>
      </c>
      <c r="D753" t="s">
        <v>219</v>
      </c>
      <c r="E753" t="s">
        <v>154</v>
      </c>
      <c r="F753" t="s">
        <v>368</v>
      </c>
      <c r="G753" s="6">
        <v>500</v>
      </c>
      <c r="H753" s="7" t="s">
        <v>17</v>
      </c>
      <c r="I753" s="7" t="s">
        <v>17</v>
      </c>
    </row>
    <row r="754" spans="1:9" hidden="1" x14ac:dyDescent="0.2">
      <c r="A754" t="s">
        <v>18</v>
      </c>
      <c r="B754" s="4" t="s">
        <v>406</v>
      </c>
      <c r="C754" s="5">
        <v>45077</v>
      </c>
      <c r="D754" t="s">
        <v>219</v>
      </c>
      <c r="E754" t="s">
        <v>329</v>
      </c>
      <c r="F754" t="s">
        <v>272</v>
      </c>
      <c r="G754" s="6">
        <v>191</v>
      </c>
      <c r="H754" s="7" t="s">
        <v>17</v>
      </c>
      <c r="I754" s="7" t="s">
        <v>17</v>
      </c>
    </row>
    <row r="755" spans="1:9" hidden="1" x14ac:dyDescent="0.2">
      <c r="A755" t="s">
        <v>8</v>
      </c>
      <c r="B755" s="4" t="s">
        <v>406</v>
      </c>
      <c r="C755" s="5">
        <v>45077</v>
      </c>
      <c r="D755" t="s">
        <v>219</v>
      </c>
      <c r="E755" t="s">
        <v>329</v>
      </c>
      <c r="F755" t="s">
        <v>368</v>
      </c>
      <c r="G755" s="6">
        <v>191</v>
      </c>
      <c r="H755" s="7" t="s">
        <v>17</v>
      </c>
      <c r="I755" s="7" t="s">
        <v>17</v>
      </c>
    </row>
    <row r="756" spans="1:9" hidden="1" x14ac:dyDescent="0.2">
      <c r="A756" t="s">
        <v>18</v>
      </c>
      <c r="B756" s="4" t="s">
        <v>406</v>
      </c>
      <c r="C756" s="5">
        <v>45077</v>
      </c>
      <c r="D756" t="s">
        <v>219</v>
      </c>
      <c r="E756" t="s">
        <v>37</v>
      </c>
      <c r="F756" t="s">
        <v>272</v>
      </c>
      <c r="G756" s="6">
        <v>400</v>
      </c>
      <c r="H756" s="7" t="s">
        <v>17</v>
      </c>
      <c r="I756" s="7" t="s">
        <v>17</v>
      </c>
    </row>
    <row r="757" spans="1:9" hidden="1" x14ac:dyDescent="0.2">
      <c r="A757" t="s">
        <v>8</v>
      </c>
      <c r="B757" s="4" t="s">
        <v>406</v>
      </c>
      <c r="C757" s="5">
        <v>45077</v>
      </c>
      <c r="D757" t="s">
        <v>219</v>
      </c>
      <c r="E757" t="s">
        <v>37</v>
      </c>
      <c r="F757" t="s">
        <v>368</v>
      </c>
      <c r="G757" s="6">
        <v>400</v>
      </c>
      <c r="H757" s="7" t="s">
        <v>17</v>
      </c>
      <c r="I757" s="7" t="s">
        <v>17</v>
      </c>
    </row>
    <row r="758" spans="1:9" hidden="1" x14ac:dyDescent="0.2">
      <c r="A758" t="s">
        <v>18</v>
      </c>
      <c r="B758" s="4" t="s">
        <v>406</v>
      </c>
      <c r="C758" s="5">
        <v>45077</v>
      </c>
      <c r="D758" t="s">
        <v>219</v>
      </c>
      <c r="E758" t="s">
        <v>129</v>
      </c>
      <c r="F758" t="s">
        <v>272</v>
      </c>
      <c r="G758" s="6">
        <v>800</v>
      </c>
      <c r="H758" s="7" t="s">
        <v>17</v>
      </c>
      <c r="I758" s="7" t="s">
        <v>17</v>
      </c>
    </row>
    <row r="759" spans="1:9" hidden="1" x14ac:dyDescent="0.2">
      <c r="A759" t="s">
        <v>8</v>
      </c>
      <c r="B759" s="4" t="s">
        <v>406</v>
      </c>
      <c r="C759" s="5">
        <v>45077</v>
      </c>
      <c r="D759" t="s">
        <v>219</v>
      </c>
      <c r="E759" t="s">
        <v>129</v>
      </c>
      <c r="F759" t="s">
        <v>368</v>
      </c>
      <c r="G759" s="6">
        <v>800</v>
      </c>
      <c r="H759" s="7" t="s">
        <v>17</v>
      </c>
      <c r="I759" s="7" t="s">
        <v>17</v>
      </c>
    </row>
    <row r="760" spans="1:9" hidden="1" x14ac:dyDescent="0.2">
      <c r="A760" t="s">
        <v>18</v>
      </c>
      <c r="B760" s="4" t="s">
        <v>407</v>
      </c>
      <c r="C760" s="5">
        <v>45072</v>
      </c>
      <c r="D760" t="s">
        <v>35</v>
      </c>
      <c r="E760" t="s">
        <v>36</v>
      </c>
      <c r="F760" t="s">
        <v>368</v>
      </c>
      <c r="G760" s="6">
        <v>100</v>
      </c>
      <c r="H760" s="7">
        <v>1.903</v>
      </c>
      <c r="I760" s="7">
        <v>190.26</v>
      </c>
    </row>
    <row r="761" spans="1:9" hidden="1" x14ac:dyDescent="0.2">
      <c r="A761" t="s">
        <v>18</v>
      </c>
      <c r="B761" s="4" t="s">
        <v>407</v>
      </c>
      <c r="C761" s="5">
        <v>45072</v>
      </c>
      <c r="D761" t="s">
        <v>35</v>
      </c>
      <c r="E761" t="s">
        <v>36</v>
      </c>
      <c r="F761" t="s">
        <v>368</v>
      </c>
      <c r="G761" s="6">
        <v>100</v>
      </c>
      <c r="H761" s="7">
        <v>1.3680000000000001</v>
      </c>
      <c r="I761" s="7">
        <v>136.83000000000001</v>
      </c>
    </row>
    <row r="762" spans="1:9" hidden="1" x14ac:dyDescent="0.2">
      <c r="A762" t="s">
        <v>18</v>
      </c>
      <c r="B762" s="4" t="s">
        <v>407</v>
      </c>
      <c r="C762" s="5">
        <v>45072</v>
      </c>
      <c r="D762" t="s">
        <v>35</v>
      </c>
      <c r="E762" t="s">
        <v>36</v>
      </c>
      <c r="F762" t="s">
        <v>368</v>
      </c>
      <c r="G762" s="6">
        <v>100</v>
      </c>
      <c r="H762" s="7">
        <v>0.251</v>
      </c>
      <c r="I762" s="7">
        <v>25.13</v>
      </c>
    </row>
    <row r="763" spans="1:9" hidden="1" x14ac:dyDescent="0.2">
      <c r="A763" t="s">
        <v>18</v>
      </c>
      <c r="B763" s="4" t="s">
        <v>408</v>
      </c>
      <c r="C763" s="5">
        <v>45070</v>
      </c>
      <c r="D763" t="s">
        <v>24</v>
      </c>
      <c r="E763" t="s">
        <v>393</v>
      </c>
      <c r="F763" t="s">
        <v>368</v>
      </c>
      <c r="G763" s="6">
        <v>400</v>
      </c>
      <c r="H763" s="7">
        <v>1.151</v>
      </c>
      <c r="I763" s="7">
        <v>391.21</v>
      </c>
    </row>
    <row r="764" spans="1:9" hidden="1" x14ac:dyDescent="0.2">
      <c r="A764" t="s">
        <v>18</v>
      </c>
      <c r="B764" s="4" t="s">
        <v>408</v>
      </c>
      <c r="C764" s="5">
        <v>45070</v>
      </c>
      <c r="D764" t="s">
        <v>35</v>
      </c>
      <c r="E764" t="s">
        <v>393</v>
      </c>
      <c r="F764" t="s">
        <v>368</v>
      </c>
      <c r="G764" s="6">
        <v>400</v>
      </c>
      <c r="H764" s="7">
        <v>0.26900000000000002</v>
      </c>
      <c r="I764" s="7">
        <v>107.74</v>
      </c>
    </row>
    <row r="765" spans="1:9" x14ac:dyDescent="0.2">
      <c r="A765" t="s">
        <v>18</v>
      </c>
      <c r="B765" s="4" t="s">
        <v>409</v>
      </c>
      <c r="C765" s="5">
        <v>45068</v>
      </c>
      <c r="D765" t="s">
        <v>28</v>
      </c>
      <c r="E765" t="s">
        <v>404</v>
      </c>
      <c r="F765" t="s">
        <v>272</v>
      </c>
      <c r="G765" s="6">
        <v>2</v>
      </c>
      <c r="H765" s="7" t="s">
        <v>17</v>
      </c>
      <c r="I765" s="7" t="s">
        <v>17</v>
      </c>
    </row>
    <row r="766" spans="1:9" x14ac:dyDescent="0.2">
      <c r="A766" t="s">
        <v>18</v>
      </c>
      <c r="B766" s="4" t="s">
        <v>409</v>
      </c>
      <c r="C766" s="5">
        <v>45068</v>
      </c>
      <c r="D766" t="s">
        <v>28</v>
      </c>
      <c r="E766" t="s">
        <v>404</v>
      </c>
      <c r="F766" t="s">
        <v>368</v>
      </c>
      <c r="G766" s="6">
        <v>26</v>
      </c>
      <c r="H766" s="7" t="s">
        <v>17</v>
      </c>
      <c r="I766" s="7" t="s">
        <v>17</v>
      </c>
    </row>
    <row r="767" spans="1:9" hidden="1" x14ac:dyDescent="0.2">
      <c r="A767" t="s">
        <v>18</v>
      </c>
      <c r="B767" s="4" t="s">
        <v>410</v>
      </c>
      <c r="C767" s="5">
        <v>45065</v>
      </c>
      <c r="D767" t="s">
        <v>41</v>
      </c>
      <c r="E767" t="s">
        <v>154</v>
      </c>
      <c r="F767" t="s">
        <v>368</v>
      </c>
      <c r="G767" s="6">
        <v>500</v>
      </c>
      <c r="H767" s="7">
        <v>6.8000000000000005E-2</v>
      </c>
      <c r="I767" s="7">
        <v>26.29</v>
      </c>
    </row>
    <row r="768" spans="1:9" hidden="1" x14ac:dyDescent="0.2">
      <c r="A768" t="s">
        <v>18</v>
      </c>
      <c r="B768" s="4" t="s">
        <v>410</v>
      </c>
      <c r="C768" s="5">
        <v>45065</v>
      </c>
      <c r="D768" t="s">
        <v>35</v>
      </c>
      <c r="E768" t="s">
        <v>154</v>
      </c>
      <c r="F768" t="s">
        <v>368</v>
      </c>
      <c r="G768" s="6">
        <v>500</v>
      </c>
      <c r="H768" s="7">
        <v>1.373</v>
      </c>
      <c r="I768" s="7">
        <v>686.43</v>
      </c>
    </row>
    <row r="769" spans="1:9" hidden="1" x14ac:dyDescent="0.2">
      <c r="A769" t="s">
        <v>18</v>
      </c>
      <c r="B769" s="4" t="s">
        <v>411</v>
      </c>
      <c r="C769" s="5">
        <v>45064</v>
      </c>
      <c r="D769" t="s">
        <v>41</v>
      </c>
      <c r="E769" t="s">
        <v>328</v>
      </c>
      <c r="F769" t="s">
        <v>368</v>
      </c>
      <c r="G769" s="6">
        <v>114</v>
      </c>
      <c r="H769" s="7">
        <v>0.95</v>
      </c>
      <c r="I769" s="7">
        <v>108.3</v>
      </c>
    </row>
    <row r="770" spans="1:9" hidden="1" x14ac:dyDescent="0.2">
      <c r="A770" t="s">
        <v>18</v>
      </c>
      <c r="B770" s="4" t="s">
        <v>412</v>
      </c>
      <c r="C770" s="5">
        <v>45063</v>
      </c>
      <c r="D770" t="s">
        <v>81</v>
      </c>
      <c r="E770" t="s">
        <v>284</v>
      </c>
      <c r="F770" t="s">
        <v>272</v>
      </c>
      <c r="G770" s="6">
        <v>5</v>
      </c>
      <c r="H770" s="7">
        <v>165</v>
      </c>
      <c r="I770" s="7">
        <v>825</v>
      </c>
    </row>
    <row r="771" spans="1:9" hidden="1" x14ac:dyDescent="0.2">
      <c r="A771" t="s">
        <v>18</v>
      </c>
      <c r="B771" s="4" t="s">
        <v>412</v>
      </c>
      <c r="C771" s="5">
        <v>45063</v>
      </c>
      <c r="D771" t="s">
        <v>81</v>
      </c>
      <c r="E771" t="s">
        <v>296</v>
      </c>
      <c r="F771" t="s">
        <v>272</v>
      </c>
      <c r="G771" s="6">
        <v>2</v>
      </c>
      <c r="H771" s="7">
        <v>124.97</v>
      </c>
      <c r="I771" s="7">
        <v>249.94</v>
      </c>
    </row>
    <row r="772" spans="1:9" hidden="1" x14ac:dyDescent="0.2">
      <c r="A772" t="s">
        <v>18</v>
      </c>
      <c r="B772" s="4" t="s">
        <v>412</v>
      </c>
      <c r="C772" s="5">
        <v>45063</v>
      </c>
      <c r="D772" t="s">
        <v>81</v>
      </c>
      <c r="E772" t="s">
        <v>331</v>
      </c>
      <c r="F772" t="s">
        <v>272</v>
      </c>
      <c r="G772" s="6">
        <v>18</v>
      </c>
      <c r="H772" s="7">
        <v>87.45</v>
      </c>
      <c r="I772" s="7">
        <v>1574.1</v>
      </c>
    </row>
    <row r="773" spans="1:9" hidden="1" x14ac:dyDescent="0.2">
      <c r="A773" t="s">
        <v>18</v>
      </c>
      <c r="B773" s="4" t="s">
        <v>412</v>
      </c>
      <c r="C773" s="5">
        <v>45063</v>
      </c>
      <c r="D773" t="s">
        <v>41</v>
      </c>
      <c r="E773" t="s">
        <v>331</v>
      </c>
      <c r="F773" t="s">
        <v>368</v>
      </c>
      <c r="G773" s="6">
        <v>112</v>
      </c>
      <c r="H773" s="7">
        <v>0.91300000000000003</v>
      </c>
      <c r="I773" s="7">
        <v>102.22</v>
      </c>
    </row>
    <row r="774" spans="1:9" hidden="1" x14ac:dyDescent="0.2">
      <c r="A774" t="s">
        <v>18</v>
      </c>
      <c r="B774" s="4" t="s">
        <v>412</v>
      </c>
      <c r="C774" s="5">
        <v>45063</v>
      </c>
      <c r="D774" t="s">
        <v>81</v>
      </c>
      <c r="E774" t="s">
        <v>297</v>
      </c>
      <c r="F774" t="s">
        <v>272</v>
      </c>
      <c r="G774" s="6">
        <v>6</v>
      </c>
      <c r="H774" s="7">
        <v>104.81</v>
      </c>
      <c r="I774" s="7">
        <v>628.86</v>
      </c>
    </row>
    <row r="775" spans="1:9" hidden="1" x14ac:dyDescent="0.2">
      <c r="A775" t="s">
        <v>18</v>
      </c>
      <c r="B775" s="4" t="s">
        <v>412</v>
      </c>
      <c r="C775" s="5">
        <v>45063</v>
      </c>
      <c r="D775" t="s">
        <v>81</v>
      </c>
      <c r="E775" t="s">
        <v>328</v>
      </c>
      <c r="F775" t="s">
        <v>272</v>
      </c>
      <c r="G775" s="6">
        <v>19</v>
      </c>
      <c r="H775" s="7">
        <v>85.938000000000002</v>
      </c>
      <c r="I775" s="7">
        <v>1632.82</v>
      </c>
    </row>
    <row r="776" spans="1:9" hidden="1" x14ac:dyDescent="0.2">
      <c r="A776" t="s">
        <v>18</v>
      </c>
      <c r="B776" s="4" t="s">
        <v>413</v>
      </c>
      <c r="C776" s="5">
        <v>45061</v>
      </c>
      <c r="D776" t="s">
        <v>41</v>
      </c>
      <c r="E776" t="s">
        <v>284</v>
      </c>
      <c r="F776" t="s">
        <v>368</v>
      </c>
      <c r="G776" s="6">
        <v>64</v>
      </c>
      <c r="H776" s="7">
        <v>1.1000000000000001</v>
      </c>
      <c r="I776" s="7">
        <v>70.400000000000006</v>
      </c>
    </row>
    <row r="777" spans="1:9" hidden="1" x14ac:dyDescent="0.2">
      <c r="A777" t="s">
        <v>18</v>
      </c>
      <c r="B777" s="4" t="s">
        <v>413</v>
      </c>
      <c r="C777" s="5">
        <v>45061</v>
      </c>
      <c r="D777" t="s">
        <v>41</v>
      </c>
      <c r="E777" t="s">
        <v>296</v>
      </c>
      <c r="F777" t="s">
        <v>368</v>
      </c>
      <c r="G777" s="6">
        <v>89</v>
      </c>
      <c r="H777" s="7">
        <v>0.85</v>
      </c>
      <c r="I777" s="7">
        <v>75.650000000000006</v>
      </c>
    </row>
    <row r="778" spans="1:9" hidden="1" x14ac:dyDescent="0.2">
      <c r="A778" t="s">
        <v>18</v>
      </c>
      <c r="B778" s="4" t="s">
        <v>413</v>
      </c>
      <c r="C778" s="5">
        <v>45061</v>
      </c>
      <c r="D778" t="s">
        <v>41</v>
      </c>
      <c r="E778" t="s">
        <v>297</v>
      </c>
      <c r="F778" t="s">
        <v>368</v>
      </c>
      <c r="G778" s="6">
        <v>103</v>
      </c>
      <c r="H778" s="7">
        <v>0.78</v>
      </c>
      <c r="I778" s="7">
        <v>80.34</v>
      </c>
    </row>
    <row r="779" spans="1:9" hidden="1" x14ac:dyDescent="0.2">
      <c r="A779" t="s">
        <v>18</v>
      </c>
      <c r="B779" s="4" t="s">
        <v>413</v>
      </c>
      <c r="C779" s="5">
        <v>45061</v>
      </c>
      <c r="D779" t="s">
        <v>41</v>
      </c>
      <c r="E779" t="s">
        <v>329</v>
      </c>
      <c r="F779" t="s">
        <v>368</v>
      </c>
      <c r="G779" s="6">
        <v>191</v>
      </c>
      <c r="H779" s="7">
        <v>0.27</v>
      </c>
      <c r="I779" s="7">
        <v>51.57</v>
      </c>
    </row>
    <row r="780" spans="1:9" hidden="1" x14ac:dyDescent="0.2">
      <c r="A780" t="s">
        <v>18</v>
      </c>
      <c r="B780" s="4" t="s">
        <v>414</v>
      </c>
      <c r="C780" s="5">
        <v>45048</v>
      </c>
      <c r="D780" t="s">
        <v>24</v>
      </c>
      <c r="E780" t="s">
        <v>289</v>
      </c>
      <c r="F780" t="s">
        <v>368</v>
      </c>
      <c r="G780" s="6">
        <v>550</v>
      </c>
      <c r="H780" s="7">
        <v>1.7000000000000001E-2</v>
      </c>
      <c r="I780" s="7">
        <v>8.06</v>
      </c>
    </row>
    <row r="781" spans="1:9" hidden="1" x14ac:dyDescent="0.2">
      <c r="A781" t="s">
        <v>18</v>
      </c>
      <c r="B781" s="4" t="s">
        <v>415</v>
      </c>
      <c r="C781" s="5">
        <v>45036</v>
      </c>
      <c r="D781" t="s">
        <v>41</v>
      </c>
      <c r="E781" t="s">
        <v>328</v>
      </c>
      <c r="F781" t="s">
        <v>368</v>
      </c>
      <c r="G781" s="6">
        <v>114</v>
      </c>
      <c r="H781" s="7">
        <v>0.95</v>
      </c>
      <c r="I781" s="7">
        <v>108.3</v>
      </c>
    </row>
    <row r="782" spans="1:9" hidden="1" x14ac:dyDescent="0.2">
      <c r="A782" t="s">
        <v>18</v>
      </c>
      <c r="B782" s="4" t="s">
        <v>416</v>
      </c>
      <c r="C782" s="5">
        <v>45035</v>
      </c>
      <c r="D782" t="s">
        <v>41</v>
      </c>
      <c r="E782" t="s">
        <v>331</v>
      </c>
      <c r="F782" t="s">
        <v>368</v>
      </c>
      <c r="G782" s="6">
        <v>112</v>
      </c>
      <c r="H782" s="7">
        <v>0.91100000000000003</v>
      </c>
      <c r="I782" s="7">
        <v>102.05</v>
      </c>
    </row>
    <row r="783" spans="1:9" hidden="1" x14ac:dyDescent="0.2">
      <c r="A783" t="s">
        <v>18</v>
      </c>
      <c r="B783" s="4" t="s">
        <v>417</v>
      </c>
      <c r="C783" s="5">
        <v>45033</v>
      </c>
      <c r="D783" t="s">
        <v>41</v>
      </c>
      <c r="E783" t="s">
        <v>284</v>
      </c>
      <c r="F783" t="s">
        <v>368</v>
      </c>
      <c r="G783" s="6">
        <v>64</v>
      </c>
      <c r="H783" s="7">
        <v>1.1000000000000001</v>
      </c>
      <c r="I783" s="7">
        <v>70.400000000000006</v>
      </c>
    </row>
    <row r="784" spans="1:9" hidden="1" x14ac:dyDescent="0.2">
      <c r="A784" t="s">
        <v>18</v>
      </c>
      <c r="B784" s="4" t="s">
        <v>417</v>
      </c>
      <c r="C784" s="5">
        <v>45033</v>
      </c>
      <c r="D784" t="s">
        <v>41</v>
      </c>
      <c r="E784" t="s">
        <v>296</v>
      </c>
      <c r="F784" t="s">
        <v>368</v>
      </c>
      <c r="G784" s="6">
        <v>89</v>
      </c>
      <c r="H784" s="7">
        <v>0.85</v>
      </c>
      <c r="I784" s="7">
        <v>75.650000000000006</v>
      </c>
    </row>
    <row r="785" spans="1:9" hidden="1" x14ac:dyDescent="0.2">
      <c r="A785" t="s">
        <v>18</v>
      </c>
      <c r="B785" s="4" t="s">
        <v>417</v>
      </c>
      <c r="C785" s="5">
        <v>45033</v>
      </c>
      <c r="D785" t="s">
        <v>41</v>
      </c>
      <c r="E785" t="s">
        <v>297</v>
      </c>
      <c r="F785" t="s">
        <v>368</v>
      </c>
      <c r="G785" s="6">
        <v>103</v>
      </c>
      <c r="H785" s="7">
        <v>0.78</v>
      </c>
      <c r="I785" s="7">
        <v>80.34</v>
      </c>
    </row>
    <row r="786" spans="1:9" hidden="1" x14ac:dyDescent="0.2">
      <c r="A786" t="s">
        <v>18</v>
      </c>
      <c r="B786" s="4" t="s">
        <v>417</v>
      </c>
      <c r="C786" s="5">
        <v>45033</v>
      </c>
      <c r="D786" t="s">
        <v>41</v>
      </c>
      <c r="E786" t="s">
        <v>329</v>
      </c>
      <c r="F786" t="s">
        <v>368</v>
      </c>
      <c r="G786" s="6">
        <v>191</v>
      </c>
      <c r="H786" s="7">
        <v>0.27</v>
      </c>
      <c r="I786" s="7">
        <v>51.57</v>
      </c>
    </row>
    <row r="787" spans="1:9" hidden="1" x14ac:dyDescent="0.2">
      <c r="A787" t="s">
        <v>18</v>
      </c>
      <c r="B787" s="4" t="s">
        <v>418</v>
      </c>
      <c r="C787" s="5">
        <v>45026</v>
      </c>
      <c r="D787" t="s">
        <v>24</v>
      </c>
      <c r="E787" t="s">
        <v>63</v>
      </c>
      <c r="F787" t="s">
        <v>368</v>
      </c>
      <c r="G787" s="6">
        <v>700</v>
      </c>
      <c r="H787" s="7">
        <v>0.06</v>
      </c>
      <c r="I787" s="7">
        <v>35.840000000000003</v>
      </c>
    </row>
    <row r="788" spans="1:9" hidden="1" x14ac:dyDescent="0.2">
      <c r="A788" t="s">
        <v>18</v>
      </c>
      <c r="B788" s="4" t="s">
        <v>418</v>
      </c>
      <c r="C788" s="5">
        <v>45026</v>
      </c>
      <c r="D788" t="s">
        <v>35</v>
      </c>
      <c r="E788" t="s">
        <v>63</v>
      </c>
      <c r="F788" t="s">
        <v>368</v>
      </c>
      <c r="G788" s="6">
        <v>700</v>
      </c>
      <c r="H788" s="7">
        <v>3.6999999999999998E-2</v>
      </c>
      <c r="I788" s="7">
        <v>25.7</v>
      </c>
    </row>
    <row r="789" spans="1:9" hidden="1" x14ac:dyDescent="0.2">
      <c r="A789" t="s">
        <v>18</v>
      </c>
      <c r="B789" s="4" t="s">
        <v>419</v>
      </c>
      <c r="C789" s="5">
        <v>45019</v>
      </c>
      <c r="D789" t="s">
        <v>24</v>
      </c>
      <c r="E789" t="s">
        <v>289</v>
      </c>
      <c r="F789" t="s">
        <v>368</v>
      </c>
      <c r="G789" s="6">
        <v>550</v>
      </c>
      <c r="H789" s="7">
        <v>1.7000000000000001E-2</v>
      </c>
      <c r="I789" s="7">
        <v>8.06</v>
      </c>
    </row>
    <row r="790" spans="1:9" hidden="1" x14ac:dyDescent="0.2">
      <c r="A790" t="s">
        <v>18</v>
      </c>
      <c r="B790" s="4" t="s">
        <v>420</v>
      </c>
      <c r="C790" s="5">
        <v>45016</v>
      </c>
      <c r="D790" t="s">
        <v>24</v>
      </c>
      <c r="E790" t="s">
        <v>107</v>
      </c>
      <c r="F790" t="s">
        <v>368</v>
      </c>
      <c r="G790" s="6">
        <v>300</v>
      </c>
      <c r="H790" s="7">
        <v>0.35199999999999998</v>
      </c>
      <c r="I790" s="7">
        <v>89.77</v>
      </c>
    </row>
    <row r="791" spans="1:9" hidden="1" x14ac:dyDescent="0.2">
      <c r="A791" t="s">
        <v>18</v>
      </c>
      <c r="B791" s="4" t="s">
        <v>420</v>
      </c>
      <c r="C791" s="5">
        <v>45016</v>
      </c>
      <c r="D791" t="s">
        <v>24</v>
      </c>
      <c r="E791" t="s">
        <v>152</v>
      </c>
      <c r="F791" t="s">
        <v>368</v>
      </c>
      <c r="G791" s="6">
        <v>500</v>
      </c>
      <c r="H791" s="7">
        <v>0.14000000000000001</v>
      </c>
      <c r="I791" s="7">
        <v>59.53</v>
      </c>
    </row>
    <row r="792" spans="1:9" hidden="1" x14ac:dyDescent="0.2">
      <c r="A792" t="s">
        <v>18</v>
      </c>
      <c r="B792" s="4" t="s">
        <v>420</v>
      </c>
      <c r="C792" s="5">
        <v>45016</v>
      </c>
      <c r="D792" t="s">
        <v>24</v>
      </c>
      <c r="E792" t="s">
        <v>152</v>
      </c>
      <c r="F792" t="s">
        <v>368</v>
      </c>
      <c r="G792" s="6">
        <v>500</v>
      </c>
      <c r="H792" s="7">
        <v>0.17100000000000001</v>
      </c>
      <c r="I792" s="7">
        <v>72.73</v>
      </c>
    </row>
    <row r="793" spans="1:9" hidden="1" x14ac:dyDescent="0.2">
      <c r="A793" t="s">
        <v>18</v>
      </c>
      <c r="B793" s="4" t="s">
        <v>420</v>
      </c>
      <c r="C793" s="5">
        <v>45016</v>
      </c>
      <c r="D793" t="s">
        <v>24</v>
      </c>
      <c r="E793" t="s">
        <v>350</v>
      </c>
      <c r="F793" t="s">
        <v>368</v>
      </c>
      <c r="G793" s="6">
        <v>200</v>
      </c>
      <c r="H793" s="7">
        <v>0.05</v>
      </c>
      <c r="I793" s="7">
        <v>8.5</v>
      </c>
    </row>
    <row r="794" spans="1:9" hidden="1" x14ac:dyDescent="0.2">
      <c r="A794" t="s">
        <v>18</v>
      </c>
      <c r="B794" s="4" t="s">
        <v>421</v>
      </c>
      <c r="C794" s="5">
        <v>45007</v>
      </c>
      <c r="D794" t="s">
        <v>24</v>
      </c>
      <c r="E794" t="s">
        <v>76</v>
      </c>
      <c r="F794" t="s">
        <v>368</v>
      </c>
      <c r="G794" s="6">
        <v>100</v>
      </c>
      <c r="H794" s="7">
        <v>0.29199999999999998</v>
      </c>
      <c r="I794" s="7">
        <v>24.82</v>
      </c>
    </row>
    <row r="795" spans="1:9" hidden="1" x14ac:dyDescent="0.2">
      <c r="A795" t="s">
        <v>18</v>
      </c>
      <c r="B795" s="4" t="s">
        <v>422</v>
      </c>
      <c r="C795" s="5">
        <v>45002</v>
      </c>
      <c r="D795" t="s">
        <v>41</v>
      </c>
      <c r="E795" t="s">
        <v>328</v>
      </c>
      <c r="F795" t="s">
        <v>368</v>
      </c>
      <c r="G795" s="6">
        <v>114</v>
      </c>
      <c r="H795" s="7">
        <v>0.95</v>
      </c>
      <c r="I795" s="7">
        <v>108.3</v>
      </c>
    </row>
    <row r="796" spans="1:9" hidden="1" x14ac:dyDescent="0.2">
      <c r="A796" t="s">
        <v>18</v>
      </c>
      <c r="B796" s="4" t="s">
        <v>423</v>
      </c>
      <c r="C796" s="5">
        <v>45001</v>
      </c>
      <c r="D796" t="s">
        <v>41</v>
      </c>
      <c r="E796" t="s">
        <v>331</v>
      </c>
      <c r="F796" t="s">
        <v>368</v>
      </c>
      <c r="G796" s="6">
        <v>112</v>
      </c>
      <c r="H796" s="7">
        <v>0.92800000000000005</v>
      </c>
      <c r="I796" s="7">
        <v>103.91</v>
      </c>
    </row>
    <row r="797" spans="1:9" hidden="1" x14ac:dyDescent="0.2">
      <c r="A797" t="s">
        <v>18</v>
      </c>
      <c r="B797" s="4" t="s">
        <v>424</v>
      </c>
      <c r="C797" s="5">
        <v>45000</v>
      </c>
      <c r="D797" t="s">
        <v>35</v>
      </c>
      <c r="E797" t="s">
        <v>129</v>
      </c>
      <c r="F797" t="s">
        <v>368</v>
      </c>
      <c r="G797" s="6">
        <v>800</v>
      </c>
      <c r="H797" s="7">
        <v>0.22600000000000001</v>
      </c>
      <c r="I797" s="7">
        <v>181.04</v>
      </c>
    </row>
    <row r="798" spans="1:9" hidden="1" x14ac:dyDescent="0.2">
      <c r="A798" t="s">
        <v>18</v>
      </c>
      <c r="B798" s="4" t="s">
        <v>424</v>
      </c>
      <c r="C798" s="5">
        <v>45000</v>
      </c>
      <c r="D798" t="s">
        <v>24</v>
      </c>
      <c r="E798" t="s">
        <v>129</v>
      </c>
      <c r="F798" t="s">
        <v>368</v>
      </c>
      <c r="G798" s="6">
        <v>800</v>
      </c>
      <c r="H798" s="7">
        <v>4.3999999999999997E-2</v>
      </c>
      <c r="I798" s="7">
        <v>29.99</v>
      </c>
    </row>
    <row r="799" spans="1:9" hidden="1" x14ac:dyDescent="0.2">
      <c r="A799" t="s">
        <v>18</v>
      </c>
      <c r="B799" s="4" t="s">
        <v>424</v>
      </c>
      <c r="C799" s="5">
        <v>45000</v>
      </c>
      <c r="D799" t="s">
        <v>24</v>
      </c>
      <c r="E799" t="s">
        <v>129</v>
      </c>
      <c r="F799" t="s">
        <v>368</v>
      </c>
      <c r="G799" s="6">
        <v>800</v>
      </c>
      <c r="H799" s="7">
        <v>5.3999999999999999E-2</v>
      </c>
      <c r="I799" s="7">
        <v>36.96</v>
      </c>
    </row>
    <row r="800" spans="1:9" hidden="1" x14ac:dyDescent="0.2">
      <c r="A800" t="s">
        <v>18</v>
      </c>
      <c r="B800" s="4" t="s">
        <v>425</v>
      </c>
      <c r="C800" s="5">
        <v>44999</v>
      </c>
      <c r="D800" t="s">
        <v>41</v>
      </c>
      <c r="E800" t="s">
        <v>284</v>
      </c>
      <c r="F800" t="s">
        <v>368</v>
      </c>
      <c r="G800" s="6">
        <v>64</v>
      </c>
      <c r="H800" s="7">
        <v>1.1000000000000001</v>
      </c>
      <c r="I800" s="7">
        <v>70.400000000000006</v>
      </c>
    </row>
    <row r="801" spans="1:9" hidden="1" x14ac:dyDescent="0.2">
      <c r="A801" t="s">
        <v>18</v>
      </c>
      <c r="B801" s="4" t="s">
        <v>425</v>
      </c>
      <c r="C801" s="5">
        <v>44999</v>
      </c>
      <c r="D801" t="s">
        <v>41</v>
      </c>
      <c r="E801" t="s">
        <v>296</v>
      </c>
      <c r="F801" t="s">
        <v>368</v>
      </c>
      <c r="G801" s="6">
        <v>89</v>
      </c>
      <c r="H801" s="7">
        <v>0.85</v>
      </c>
      <c r="I801" s="7">
        <v>75.650000000000006</v>
      </c>
    </row>
    <row r="802" spans="1:9" hidden="1" x14ac:dyDescent="0.2">
      <c r="A802" t="s">
        <v>18</v>
      </c>
      <c r="B802" s="4" t="s">
        <v>425</v>
      </c>
      <c r="C802" s="5">
        <v>44999</v>
      </c>
      <c r="D802" t="s">
        <v>41</v>
      </c>
      <c r="E802" t="s">
        <v>297</v>
      </c>
      <c r="F802" t="s">
        <v>368</v>
      </c>
      <c r="G802" s="6">
        <v>103</v>
      </c>
      <c r="H802" s="7">
        <v>0.78</v>
      </c>
      <c r="I802" s="7">
        <v>80.34</v>
      </c>
    </row>
    <row r="803" spans="1:9" hidden="1" x14ac:dyDescent="0.2">
      <c r="A803" t="s">
        <v>18</v>
      </c>
      <c r="B803" s="4" t="s">
        <v>425</v>
      </c>
      <c r="C803" s="5">
        <v>44999</v>
      </c>
      <c r="D803" t="s">
        <v>41</v>
      </c>
      <c r="E803" t="s">
        <v>329</v>
      </c>
      <c r="F803" t="s">
        <v>368</v>
      </c>
      <c r="G803" s="6">
        <v>191</v>
      </c>
      <c r="H803" s="7">
        <v>0.27</v>
      </c>
      <c r="I803" s="7">
        <v>51.57</v>
      </c>
    </row>
    <row r="804" spans="1:9" hidden="1" x14ac:dyDescent="0.2">
      <c r="A804" t="s">
        <v>18</v>
      </c>
      <c r="B804" s="4" t="s">
        <v>426</v>
      </c>
      <c r="C804" s="5">
        <v>44993</v>
      </c>
      <c r="D804" t="s">
        <v>24</v>
      </c>
      <c r="E804" t="s">
        <v>289</v>
      </c>
      <c r="F804" t="s">
        <v>368</v>
      </c>
      <c r="G804" s="6">
        <v>550</v>
      </c>
      <c r="H804" s="7">
        <v>0.53</v>
      </c>
      <c r="I804" s="7">
        <v>247.94</v>
      </c>
    </row>
    <row r="805" spans="1:9" hidden="1" x14ac:dyDescent="0.2">
      <c r="A805" t="s">
        <v>18</v>
      </c>
      <c r="B805" s="4" t="s">
        <v>427</v>
      </c>
      <c r="C805" s="5">
        <v>44988</v>
      </c>
      <c r="D805" t="s">
        <v>41</v>
      </c>
      <c r="E805" t="s">
        <v>107</v>
      </c>
      <c r="F805" t="s">
        <v>368</v>
      </c>
      <c r="G805" s="6">
        <v>300</v>
      </c>
      <c r="H805" s="7">
        <v>1.2999999999999999E-2</v>
      </c>
      <c r="I805" s="7">
        <v>2.94</v>
      </c>
    </row>
    <row r="806" spans="1:9" hidden="1" x14ac:dyDescent="0.2">
      <c r="A806" t="s">
        <v>18</v>
      </c>
      <c r="B806" s="4" t="s">
        <v>427</v>
      </c>
      <c r="C806" s="5">
        <v>44988</v>
      </c>
      <c r="D806" t="s">
        <v>41</v>
      </c>
      <c r="E806" t="s">
        <v>107</v>
      </c>
      <c r="F806" t="s">
        <v>368</v>
      </c>
      <c r="G806" s="6">
        <v>300</v>
      </c>
      <c r="H806" s="7">
        <v>5.0000000000000001E-3</v>
      </c>
      <c r="I806" s="7">
        <v>1.2</v>
      </c>
    </row>
    <row r="807" spans="1:9" hidden="1" x14ac:dyDescent="0.2">
      <c r="A807" t="s">
        <v>18</v>
      </c>
      <c r="B807" s="4" t="s">
        <v>427</v>
      </c>
      <c r="C807" s="5">
        <v>44988</v>
      </c>
      <c r="D807" t="s">
        <v>24</v>
      </c>
      <c r="E807" t="s">
        <v>107</v>
      </c>
      <c r="F807" t="s">
        <v>368</v>
      </c>
      <c r="G807" s="6">
        <v>300</v>
      </c>
      <c r="H807" s="7">
        <v>0.57399999999999995</v>
      </c>
      <c r="I807" s="7">
        <v>146.24</v>
      </c>
    </row>
    <row r="808" spans="1:9" hidden="1" x14ac:dyDescent="0.2">
      <c r="A808" t="s">
        <v>18</v>
      </c>
      <c r="B808" s="4" t="s">
        <v>427</v>
      </c>
      <c r="C808" s="5">
        <v>44988</v>
      </c>
      <c r="D808" t="s">
        <v>35</v>
      </c>
      <c r="E808" t="s">
        <v>107</v>
      </c>
      <c r="F808" t="s">
        <v>368</v>
      </c>
      <c r="G808" s="6">
        <v>300</v>
      </c>
      <c r="H808" s="7">
        <v>0.23499999999999999</v>
      </c>
      <c r="I808" s="7">
        <v>70.64</v>
      </c>
    </row>
    <row r="809" spans="1:9" hidden="1" x14ac:dyDescent="0.2">
      <c r="A809" t="s">
        <v>18</v>
      </c>
      <c r="B809" s="4" t="s">
        <v>428</v>
      </c>
      <c r="C809" s="5">
        <v>44986</v>
      </c>
      <c r="D809" t="s">
        <v>24</v>
      </c>
      <c r="E809" t="s">
        <v>289</v>
      </c>
      <c r="F809" t="s">
        <v>368</v>
      </c>
      <c r="G809" s="6">
        <v>550</v>
      </c>
      <c r="H809" s="7">
        <v>1.7000000000000001E-2</v>
      </c>
      <c r="I809" s="7">
        <v>8.06</v>
      </c>
    </row>
    <row r="810" spans="1:9" hidden="1" x14ac:dyDescent="0.2">
      <c r="A810" t="s">
        <v>18</v>
      </c>
      <c r="B810" s="4" t="s">
        <v>429</v>
      </c>
      <c r="C810" s="5">
        <v>44974</v>
      </c>
      <c r="D810" t="s">
        <v>41</v>
      </c>
      <c r="E810" t="s">
        <v>328</v>
      </c>
      <c r="F810" t="s">
        <v>368</v>
      </c>
      <c r="G810" s="6">
        <v>114</v>
      </c>
      <c r="H810" s="7">
        <v>0.95</v>
      </c>
      <c r="I810" s="7">
        <v>108.3</v>
      </c>
    </row>
    <row r="811" spans="1:9" hidden="1" x14ac:dyDescent="0.2">
      <c r="A811" t="s">
        <v>18</v>
      </c>
      <c r="B811" s="4" t="s">
        <v>430</v>
      </c>
      <c r="C811" s="5">
        <v>44973</v>
      </c>
      <c r="D811" t="s">
        <v>41</v>
      </c>
      <c r="E811" t="s">
        <v>331</v>
      </c>
      <c r="F811" t="s">
        <v>368</v>
      </c>
      <c r="G811" s="6">
        <v>112</v>
      </c>
      <c r="H811" s="7">
        <v>0.94799999999999995</v>
      </c>
      <c r="I811" s="7">
        <v>106.15</v>
      </c>
    </row>
    <row r="812" spans="1:9" hidden="1" x14ac:dyDescent="0.2">
      <c r="A812" t="s">
        <v>18</v>
      </c>
      <c r="B812" s="4" t="s">
        <v>430</v>
      </c>
      <c r="C812" s="5">
        <v>44973</v>
      </c>
      <c r="D812" t="s">
        <v>221</v>
      </c>
      <c r="E812" t="s">
        <v>129</v>
      </c>
      <c r="F812" t="s">
        <v>368</v>
      </c>
      <c r="G812" s="6">
        <v>400</v>
      </c>
      <c r="H812" s="7">
        <v>5.3999999999999999E-2</v>
      </c>
      <c r="I812" s="7">
        <v>18.48</v>
      </c>
    </row>
    <row r="813" spans="1:9" hidden="1" x14ac:dyDescent="0.2">
      <c r="A813" t="s">
        <v>18</v>
      </c>
      <c r="B813" s="4" t="s">
        <v>430</v>
      </c>
      <c r="C813" s="5">
        <v>44973</v>
      </c>
      <c r="D813" t="s">
        <v>219</v>
      </c>
      <c r="E813" t="s">
        <v>129</v>
      </c>
      <c r="F813" t="s">
        <v>368</v>
      </c>
      <c r="G813" s="6">
        <v>400</v>
      </c>
      <c r="H813" s="7" t="s">
        <v>17</v>
      </c>
      <c r="I813" s="7" t="s">
        <v>17</v>
      </c>
    </row>
    <row r="814" spans="1:9" hidden="1" x14ac:dyDescent="0.2">
      <c r="A814" t="s">
        <v>18</v>
      </c>
      <c r="B814" s="4" t="s">
        <v>430</v>
      </c>
      <c r="C814" s="5">
        <v>44973</v>
      </c>
      <c r="D814" t="s">
        <v>221</v>
      </c>
      <c r="E814" t="s">
        <v>129</v>
      </c>
      <c r="F814" t="s">
        <v>368</v>
      </c>
      <c r="G814" s="6">
        <v>400</v>
      </c>
      <c r="H814" s="7">
        <v>4.3999999999999997E-2</v>
      </c>
      <c r="I814" s="7">
        <v>14.99</v>
      </c>
    </row>
    <row r="815" spans="1:9" hidden="1" x14ac:dyDescent="0.2">
      <c r="A815" t="s">
        <v>8</v>
      </c>
      <c r="B815" s="4" t="s">
        <v>430</v>
      </c>
      <c r="C815" s="5">
        <v>44973</v>
      </c>
      <c r="D815" t="s">
        <v>221</v>
      </c>
      <c r="E815" t="s">
        <v>129</v>
      </c>
      <c r="F815" t="s">
        <v>16</v>
      </c>
      <c r="G815" s="6">
        <v>400</v>
      </c>
      <c r="H815" s="7">
        <v>4.3999999999999997E-2</v>
      </c>
      <c r="I815" s="7">
        <v>14.99</v>
      </c>
    </row>
    <row r="816" spans="1:9" hidden="1" x14ac:dyDescent="0.2">
      <c r="A816" t="s">
        <v>8</v>
      </c>
      <c r="B816" s="4" t="s">
        <v>430</v>
      </c>
      <c r="C816" s="5">
        <v>44973</v>
      </c>
      <c r="D816" t="s">
        <v>219</v>
      </c>
      <c r="E816" t="s">
        <v>129</v>
      </c>
      <c r="F816" t="s">
        <v>16</v>
      </c>
      <c r="G816" s="6">
        <v>400</v>
      </c>
      <c r="H816" s="7" t="s">
        <v>17</v>
      </c>
      <c r="I816" s="7" t="s">
        <v>17</v>
      </c>
    </row>
    <row r="817" spans="1:9" hidden="1" x14ac:dyDescent="0.2">
      <c r="A817" t="s">
        <v>8</v>
      </c>
      <c r="B817" s="4" t="s">
        <v>430</v>
      </c>
      <c r="C817" s="5">
        <v>44973</v>
      </c>
      <c r="D817" t="s">
        <v>221</v>
      </c>
      <c r="E817" t="s">
        <v>129</v>
      </c>
      <c r="F817" t="s">
        <v>16</v>
      </c>
      <c r="G817" s="6">
        <v>400</v>
      </c>
      <c r="H817" s="7">
        <v>5.3999999999999999E-2</v>
      </c>
      <c r="I817" s="7">
        <v>18.48</v>
      </c>
    </row>
    <row r="818" spans="1:9" hidden="1" x14ac:dyDescent="0.2">
      <c r="A818" t="s">
        <v>18</v>
      </c>
      <c r="B818" s="4" t="s">
        <v>431</v>
      </c>
      <c r="C818" s="5">
        <v>44971</v>
      </c>
      <c r="D818" t="s">
        <v>41</v>
      </c>
      <c r="E818" t="s">
        <v>284</v>
      </c>
      <c r="F818" t="s">
        <v>368</v>
      </c>
      <c r="G818" s="6">
        <v>64</v>
      </c>
      <c r="H818" s="7">
        <v>1.1000000000000001</v>
      </c>
      <c r="I818" s="7">
        <v>70.400000000000006</v>
      </c>
    </row>
    <row r="819" spans="1:9" hidden="1" x14ac:dyDescent="0.2">
      <c r="A819" t="s">
        <v>18</v>
      </c>
      <c r="B819" s="4" t="s">
        <v>431</v>
      </c>
      <c r="C819" s="5">
        <v>44971</v>
      </c>
      <c r="D819" t="s">
        <v>41</v>
      </c>
      <c r="E819" t="s">
        <v>296</v>
      </c>
      <c r="F819" t="s">
        <v>368</v>
      </c>
      <c r="G819" s="6">
        <v>89</v>
      </c>
      <c r="H819" s="7">
        <v>0.82</v>
      </c>
      <c r="I819" s="7">
        <v>72.98</v>
      </c>
    </row>
    <row r="820" spans="1:9" hidden="1" x14ac:dyDescent="0.2">
      <c r="A820" t="s">
        <v>18</v>
      </c>
      <c r="B820" s="4" t="s">
        <v>431</v>
      </c>
      <c r="C820" s="5">
        <v>44971</v>
      </c>
      <c r="D820" t="s">
        <v>41</v>
      </c>
      <c r="E820" t="s">
        <v>297</v>
      </c>
      <c r="F820" t="s">
        <v>368</v>
      </c>
      <c r="G820" s="6">
        <v>103</v>
      </c>
      <c r="H820" s="7">
        <v>0.78</v>
      </c>
      <c r="I820" s="7">
        <v>80.34</v>
      </c>
    </row>
    <row r="821" spans="1:9" hidden="1" x14ac:dyDescent="0.2">
      <c r="A821" t="s">
        <v>18</v>
      </c>
      <c r="B821" s="4" t="s">
        <v>431</v>
      </c>
      <c r="C821" s="5">
        <v>44971</v>
      </c>
      <c r="D821" t="s">
        <v>41</v>
      </c>
      <c r="E821" t="s">
        <v>329</v>
      </c>
      <c r="F821" t="s">
        <v>368</v>
      </c>
      <c r="G821" s="6">
        <v>191</v>
      </c>
      <c r="H821" s="7">
        <v>0.27</v>
      </c>
      <c r="I821" s="7">
        <v>51.57</v>
      </c>
    </row>
    <row r="822" spans="1:9" hidden="1" x14ac:dyDescent="0.2">
      <c r="A822" t="s">
        <v>18</v>
      </c>
      <c r="B822" s="4" t="s">
        <v>432</v>
      </c>
      <c r="C822" s="5">
        <v>44958</v>
      </c>
      <c r="D822" t="s">
        <v>24</v>
      </c>
      <c r="E822" t="s">
        <v>289</v>
      </c>
      <c r="F822" t="s">
        <v>368</v>
      </c>
      <c r="G822" s="6">
        <v>550</v>
      </c>
      <c r="H822" s="7">
        <v>1.7000000000000001E-2</v>
      </c>
      <c r="I822" s="7">
        <v>8.06</v>
      </c>
    </row>
    <row r="823" spans="1:9" hidden="1" x14ac:dyDescent="0.2">
      <c r="A823" t="s">
        <v>18</v>
      </c>
      <c r="B823" s="4" t="s">
        <v>433</v>
      </c>
      <c r="C823" s="5">
        <v>44952</v>
      </c>
      <c r="D823" t="s">
        <v>24</v>
      </c>
      <c r="E823" t="s">
        <v>36</v>
      </c>
      <c r="F823" t="s">
        <v>368</v>
      </c>
      <c r="G823" s="6">
        <v>100</v>
      </c>
      <c r="H823" s="7">
        <v>0.83499999999999996</v>
      </c>
      <c r="I823" s="7">
        <v>70.97</v>
      </c>
    </row>
    <row r="824" spans="1:9" hidden="1" x14ac:dyDescent="0.2">
      <c r="A824" t="s">
        <v>18</v>
      </c>
      <c r="B824" s="4" t="s">
        <v>434</v>
      </c>
      <c r="C824" s="5">
        <v>44949</v>
      </c>
      <c r="D824" t="s">
        <v>35</v>
      </c>
      <c r="E824" t="s">
        <v>37</v>
      </c>
      <c r="F824" t="s">
        <v>368</v>
      </c>
      <c r="G824" s="6">
        <v>400</v>
      </c>
      <c r="H824" s="7">
        <v>1.335</v>
      </c>
      <c r="I824" s="7">
        <v>534.1</v>
      </c>
    </row>
    <row r="825" spans="1:9" hidden="1" x14ac:dyDescent="0.2">
      <c r="A825" t="s">
        <v>18</v>
      </c>
      <c r="B825" s="4" t="s">
        <v>435</v>
      </c>
      <c r="C825" s="5">
        <v>44945</v>
      </c>
      <c r="D825" t="s">
        <v>41</v>
      </c>
      <c r="E825" t="s">
        <v>154</v>
      </c>
      <c r="F825" t="s">
        <v>368</v>
      </c>
      <c r="G825" s="6">
        <v>500</v>
      </c>
      <c r="H825" s="7">
        <v>1.0999999999999999E-2</v>
      </c>
      <c r="I825" s="7">
        <v>4.42</v>
      </c>
    </row>
    <row r="826" spans="1:9" hidden="1" x14ac:dyDescent="0.2">
      <c r="A826" t="s">
        <v>18</v>
      </c>
      <c r="B826" s="4" t="s">
        <v>435</v>
      </c>
      <c r="C826" s="5">
        <v>44945</v>
      </c>
      <c r="D826" t="s">
        <v>41</v>
      </c>
      <c r="E826" t="s">
        <v>154</v>
      </c>
      <c r="F826" t="s">
        <v>368</v>
      </c>
      <c r="G826" s="6">
        <v>500</v>
      </c>
      <c r="H826" s="7">
        <v>1E-3</v>
      </c>
      <c r="I826" s="7">
        <v>0.2</v>
      </c>
    </row>
    <row r="827" spans="1:9" hidden="1" x14ac:dyDescent="0.2">
      <c r="A827" t="s">
        <v>18</v>
      </c>
      <c r="B827" s="4" t="s">
        <v>435</v>
      </c>
      <c r="C827" s="5">
        <v>44945</v>
      </c>
      <c r="D827" t="s">
        <v>24</v>
      </c>
      <c r="E827" t="s">
        <v>154</v>
      </c>
      <c r="F827" t="s">
        <v>368</v>
      </c>
      <c r="G827" s="6">
        <v>500</v>
      </c>
      <c r="H827" s="7">
        <v>7.3999999999999996E-2</v>
      </c>
      <c r="I827" s="7">
        <v>31.55</v>
      </c>
    </row>
    <row r="828" spans="1:9" hidden="1" x14ac:dyDescent="0.2">
      <c r="A828" t="s">
        <v>18</v>
      </c>
      <c r="B828" s="4" t="s">
        <v>435</v>
      </c>
      <c r="C828" s="5">
        <v>44945</v>
      </c>
      <c r="D828" t="s">
        <v>35</v>
      </c>
      <c r="E828" t="s">
        <v>154</v>
      </c>
      <c r="F828" t="s">
        <v>368</v>
      </c>
      <c r="G828" s="6">
        <v>500</v>
      </c>
      <c r="H828" s="7">
        <v>1.6</v>
      </c>
      <c r="I828" s="7">
        <v>800.09</v>
      </c>
    </row>
    <row r="829" spans="1:9" hidden="1" x14ac:dyDescent="0.2">
      <c r="A829" t="s">
        <v>18</v>
      </c>
      <c r="B829" s="4" t="s">
        <v>436</v>
      </c>
      <c r="C829" s="5">
        <v>44944</v>
      </c>
      <c r="D829" t="s">
        <v>41</v>
      </c>
      <c r="E829" t="s">
        <v>328</v>
      </c>
      <c r="F829" t="s">
        <v>368</v>
      </c>
      <c r="G829" s="6">
        <v>114</v>
      </c>
      <c r="H829" s="7">
        <v>1.1499999999999999</v>
      </c>
      <c r="I829" s="7">
        <v>131.1</v>
      </c>
    </row>
    <row r="830" spans="1:9" hidden="1" x14ac:dyDescent="0.2">
      <c r="A830" t="s">
        <v>18</v>
      </c>
      <c r="B830" s="4" t="s">
        <v>437</v>
      </c>
      <c r="C830" s="5">
        <v>44943</v>
      </c>
      <c r="D830" t="s">
        <v>41</v>
      </c>
      <c r="E830" t="s">
        <v>331</v>
      </c>
      <c r="F830" t="s">
        <v>368</v>
      </c>
      <c r="G830" s="6">
        <v>112</v>
      </c>
      <c r="H830" s="7">
        <v>0.89600000000000002</v>
      </c>
      <c r="I830" s="7">
        <v>100.38</v>
      </c>
    </row>
    <row r="831" spans="1:9" hidden="1" x14ac:dyDescent="0.2">
      <c r="A831" t="s">
        <v>18</v>
      </c>
      <c r="B831" s="4" t="s">
        <v>438</v>
      </c>
      <c r="C831" s="5">
        <v>44939</v>
      </c>
      <c r="D831" t="s">
        <v>24</v>
      </c>
      <c r="E831" t="s">
        <v>439</v>
      </c>
      <c r="F831" t="s">
        <v>368</v>
      </c>
      <c r="G831" s="6">
        <v>700</v>
      </c>
      <c r="H831" s="7">
        <v>6.4000000000000001E-2</v>
      </c>
      <c r="I831" s="7">
        <v>38.06</v>
      </c>
    </row>
    <row r="832" spans="1:9" hidden="1" x14ac:dyDescent="0.2">
      <c r="A832" t="s">
        <v>18</v>
      </c>
      <c r="B832" s="4" t="s">
        <v>438</v>
      </c>
      <c r="C832" s="5">
        <v>44939</v>
      </c>
      <c r="D832" t="s">
        <v>41</v>
      </c>
      <c r="E832" t="s">
        <v>284</v>
      </c>
      <c r="F832" t="s">
        <v>368</v>
      </c>
      <c r="G832" s="6">
        <v>55</v>
      </c>
      <c r="H832" s="7">
        <v>2.2000000000000002</v>
      </c>
      <c r="I832" s="7">
        <v>121</v>
      </c>
    </row>
    <row r="833" spans="1:9" hidden="1" x14ac:dyDescent="0.2">
      <c r="A833" t="s">
        <v>18</v>
      </c>
      <c r="B833" s="4" t="s">
        <v>438</v>
      </c>
      <c r="C833" s="5">
        <v>44939</v>
      </c>
      <c r="D833" t="s">
        <v>41</v>
      </c>
      <c r="E833" t="s">
        <v>296</v>
      </c>
      <c r="F833" t="s">
        <v>368</v>
      </c>
      <c r="G833" s="6">
        <v>78</v>
      </c>
      <c r="H833" s="7">
        <v>2</v>
      </c>
      <c r="I833" s="7">
        <v>156</v>
      </c>
    </row>
    <row r="834" spans="1:9" hidden="1" x14ac:dyDescent="0.2">
      <c r="A834" t="s">
        <v>18</v>
      </c>
      <c r="B834" s="4" t="s">
        <v>438</v>
      </c>
      <c r="C834" s="5">
        <v>44939</v>
      </c>
      <c r="D834" t="s">
        <v>41</v>
      </c>
      <c r="E834" t="s">
        <v>297</v>
      </c>
      <c r="F834" t="s">
        <v>368</v>
      </c>
      <c r="G834" s="6">
        <v>91</v>
      </c>
      <c r="H834" s="7">
        <v>0.78</v>
      </c>
      <c r="I834" s="7">
        <v>70.98</v>
      </c>
    </row>
    <row r="835" spans="1:9" hidden="1" x14ac:dyDescent="0.2">
      <c r="A835" t="s">
        <v>18</v>
      </c>
      <c r="B835" s="4" t="s">
        <v>438</v>
      </c>
      <c r="C835" s="5">
        <v>44939</v>
      </c>
      <c r="D835" t="s">
        <v>41</v>
      </c>
      <c r="E835" t="s">
        <v>329</v>
      </c>
      <c r="F835" t="s">
        <v>368</v>
      </c>
      <c r="G835" s="6">
        <v>171</v>
      </c>
      <c r="H835" s="7">
        <v>0.27</v>
      </c>
      <c r="I835" s="7">
        <v>46.17</v>
      </c>
    </row>
    <row r="836" spans="1:9" hidden="1" x14ac:dyDescent="0.2">
      <c r="A836" t="s">
        <v>18</v>
      </c>
      <c r="B836" s="4" t="s">
        <v>440</v>
      </c>
      <c r="C836" s="5">
        <v>44938</v>
      </c>
      <c r="D836" t="s">
        <v>81</v>
      </c>
      <c r="E836" t="s">
        <v>284</v>
      </c>
      <c r="F836" t="s">
        <v>368</v>
      </c>
      <c r="G836" s="6">
        <v>9</v>
      </c>
      <c r="H836" s="7">
        <v>162.34700000000001</v>
      </c>
      <c r="I836" s="7">
        <v>1461.12</v>
      </c>
    </row>
    <row r="837" spans="1:9" hidden="1" x14ac:dyDescent="0.2">
      <c r="A837" t="s">
        <v>18</v>
      </c>
      <c r="B837" s="4" t="s">
        <v>440</v>
      </c>
      <c r="C837" s="5">
        <v>44938</v>
      </c>
      <c r="D837" t="s">
        <v>81</v>
      </c>
      <c r="E837" t="s">
        <v>296</v>
      </c>
      <c r="F837" t="s">
        <v>368</v>
      </c>
      <c r="G837" s="6">
        <v>11</v>
      </c>
      <c r="H837" s="7">
        <v>116.76</v>
      </c>
      <c r="I837" s="7">
        <v>1284.3599999999999</v>
      </c>
    </row>
    <row r="838" spans="1:9" hidden="1" x14ac:dyDescent="0.2">
      <c r="A838" t="s">
        <v>18</v>
      </c>
      <c r="B838" s="4" t="s">
        <v>440</v>
      </c>
      <c r="C838" s="5">
        <v>44938</v>
      </c>
      <c r="D838" t="s">
        <v>81</v>
      </c>
      <c r="E838" t="s">
        <v>331</v>
      </c>
      <c r="F838" t="s">
        <v>368</v>
      </c>
      <c r="G838" s="6">
        <v>22</v>
      </c>
      <c r="H838" s="7">
        <v>93.1</v>
      </c>
      <c r="I838" s="7">
        <v>2048.1999999999998</v>
      </c>
    </row>
    <row r="839" spans="1:9" hidden="1" x14ac:dyDescent="0.2">
      <c r="A839" t="s">
        <v>18</v>
      </c>
      <c r="B839" s="4" t="s">
        <v>440</v>
      </c>
      <c r="C839" s="5">
        <v>44938</v>
      </c>
      <c r="D839" t="s">
        <v>81</v>
      </c>
      <c r="E839" t="s">
        <v>297</v>
      </c>
      <c r="F839" t="s">
        <v>368</v>
      </c>
      <c r="G839" s="6">
        <v>12</v>
      </c>
      <c r="H839" s="7">
        <v>101.4</v>
      </c>
      <c r="I839" s="7">
        <v>1216.8</v>
      </c>
    </row>
    <row r="840" spans="1:9" hidden="1" x14ac:dyDescent="0.2">
      <c r="A840" t="s">
        <v>18</v>
      </c>
      <c r="B840" s="4" t="s">
        <v>440</v>
      </c>
      <c r="C840" s="5">
        <v>44938</v>
      </c>
      <c r="D840" t="s">
        <v>81</v>
      </c>
      <c r="E840" t="s">
        <v>328</v>
      </c>
      <c r="F840" t="s">
        <v>368</v>
      </c>
      <c r="G840" s="6">
        <v>19</v>
      </c>
      <c r="H840" s="7">
        <v>91.45</v>
      </c>
      <c r="I840" s="7">
        <v>1737.55</v>
      </c>
    </row>
    <row r="841" spans="1:9" hidden="1" x14ac:dyDescent="0.2">
      <c r="A841" t="s">
        <v>18</v>
      </c>
      <c r="B841" s="4" t="s">
        <v>440</v>
      </c>
      <c r="C841" s="5">
        <v>44938</v>
      </c>
      <c r="D841" t="s">
        <v>81</v>
      </c>
      <c r="E841" t="s">
        <v>329</v>
      </c>
      <c r="F841" t="s">
        <v>368</v>
      </c>
      <c r="G841" s="6">
        <v>20</v>
      </c>
      <c r="H841" s="7">
        <v>47.76</v>
      </c>
      <c r="I841" s="7">
        <v>955.2</v>
      </c>
    </row>
    <row r="842" spans="1:9" hidden="1" x14ac:dyDescent="0.2">
      <c r="A842" t="s">
        <v>18</v>
      </c>
      <c r="B842" s="4" t="s">
        <v>441</v>
      </c>
      <c r="C842" s="5">
        <v>44928</v>
      </c>
      <c r="D842" t="s">
        <v>24</v>
      </c>
      <c r="E842" t="s">
        <v>289</v>
      </c>
      <c r="F842" t="s">
        <v>368</v>
      </c>
      <c r="G842" s="6">
        <v>550</v>
      </c>
      <c r="H842" s="7">
        <v>1.7000000000000001E-2</v>
      </c>
      <c r="I842" s="7">
        <v>8.06</v>
      </c>
    </row>
    <row r="843" spans="1:9" hidden="1" x14ac:dyDescent="0.2">
      <c r="A843" t="s">
        <v>18</v>
      </c>
      <c r="B843" s="4" t="s">
        <v>441</v>
      </c>
      <c r="C843" s="5">
        <v>44928</v>
      </c>
      <c r="D843" t="s">
        <v>24</v>
      </c>
      <c r="E843" t="s">
        <v>223</v>
      </c>
      <c r="F843" t="s">
        <v>368</v>
      </c>
      <c r="G843" s="6">
        <v>100</v>
      </c>
      <c r="H843" s="7">
        <v>0.308</v>
      </c>
      <c r="I843" s="7">
        <v>26.16</v>
      </c>
    </row>
    <row r="844" spans="1:9" hidden="1" x14ac:dyDescent="0.2">
      <c r="A844" t="s">
        <v>18</v>
      </c>
      <c r="B844" s="4" t="s">
        <v>441</v>
      </c>
      <c r="C844" s="5">
        <v>44928</v>
      </c>
      <c r="D844" t="s">
        <v>24</v>
      </c>
      <c r="E844" t="s">
        <v>223</v>
      </c>
      <c r="F844" t="s">
        <v>368</v>
      </c>
      <c r="G844" s="6">
        <v>100</v>
      </c>
      <c r="H844" s="7">
        <v>0.309</v>
      </c>
      <c r="I844" s="7">
        <v>26.25</v>
      </c>
    </row>
    <row r="845" spans="1:9" hidden="1" x14ac:dyDescent="0.2">
      <c r="A845" t="s">
        <v>18</v>
      </c>
      <c r="B845" s="4" t="s">
        <v>441</v>
      </c>
      <c r="C845" s="5">
        <v>44928</v>
      </c>
      <c r="D845" t="s">
        <v>24</v>
      </c>
      <c r="E845" t="s">
        <v>223</v>
      </c>
      <c r="F845" t="s">
        <v>368</v>
      </c>
      <c r="G845" s="6">
        <v>100</v>
      </c>
      <c r="H845" s="7">
        <v>0.308</v>
      </c>
      <c r="I845" s="7">
        <v>26.16</v>
      </c>
    </row>
    <row r="846" spans="1:9" hidden="1" x14ac:dyDescent="0.2">
      <c r="A846" t="s">
        <v>18</v>
      </c>
      <c r="B846" s="4" t="s">
        <v>441</v>
      </c>
      <c r="C846" s="5">
        <v>44928</v>
      </c>
      <c r="D846" t="s">
        <v>24</v>
      </c>
      <c r="E846" t="s">
        <v>223</v>
      </c>
      <c r="F846" t="s">
        <v>368</v>
      </c>
      <c r="G846" s="6">
        <v>100</v>
      </c>
      <c r="H846" s="7">
        <v>0.308</v>
      </c>
      <c r="I846" s="7">
        <v>26.15</v>
      </c>
    </row>
    <row r="847" spans="1:9" hidden="1" x14ac:dyDescent="0.2">
      <c r="A847" t="s">
        <v>8</v>
      </c>
      <c r="B847" s="4" t="s">
        <v>441</v>
      </c>
      <c r="C847" s="5">
        <v>44928</v>
      </c>
      <c r="D847" t="s">
        <v>81</v>
      </c>
      <c r="E847" t="s">
        <v>76</v>
      </c>
      <c r="F847" t="s">
        <v>368</v>
      </c>
      <c r="G847" s="6">
        <v>100</v>
      </c>
      <c r="H847" s="7">
        <v>89.2</v>
      </c>
      <c r="I847" s="7">
        <v>8920</v>
      </c>
    </row>
    <row r="848" spans="1:9" hidden="1" x14ac:dyDescent="0.2">
      <c r="A848" t="s">
        <v>18</v>
      </c>
      <c r="B848" s="4" t="s">
        <v>442</v>
      </c>
      <c r="C848" s="5">
        <v>44924</v>
      </c>
      <c r="D848" t="s">
        <v>35</v>
      </c>
      <c r="E848" t="s">
        <v>439</v>
      </c>
      <c r="F848" t="s">
        <v>368</v>
      </c>
      <c r="G848" s="6">
        <v>700</v>
      </c>
      <c r="H848" s="7">
        <v>2.4E-2</v>
      </c>
      <c r="I848" s="7">
        <v>16.940000000000001</v>
      </c>
    </row>
    <row r="849" spans="1:9" hidden="1" x14ac:dyDescent="0.2">
      <c r="A849" t="s">
        <v>18</v>
      </c>
      <c r="B849" s="4" t="s">
        <v>442</v>
      </c>
      <c r="C849" s="5">
        <v>44924</v>
      </c>
      <c r="D849" t="s">
        <v>24</v>
      </c>
      <c r="E849" t="s">
        <v>107</v>
      </c>
      <c r="F849" t="s">
        <v>368</v>
      </c>
      <c r="G849" s="6">
        <v>300</v>
      </c>
      <c r="H849" s="7">
        <v>0.34599999999999997</v>
      </c>
      <c r="I849" s="7">
        <v>88.1</v>
      </c>
    </row>
    <row r="850" spans="1:9" hidden="1" x14ac:dyDescent="0.2">
      <c r="A850" t="s">
        <v>18</v>
      </c>
      <c r="B850" s="4" t="s">
        <v>442</v>
      </c>
      <c r="C850" s="5">
        <v>44924</v>
      </c>
      <c r="D850" t="s">
        <v>24</v>
      </c>
      <c r="E850" t="s">
        <v>57</v>
      </c>
      <c r="F850" t="s">
        <v>368</v>
      </c>
      <c r="G850" s="6">
        <v>600</v>
      </c>
      <c r="H850" s="7">
        <v>0.29399999999999998</v>
      </c>
      <c r="I850" s="7">
        <v>150.18</v>
      </c>
    </row>
    <row r="851" spans="1:9" hidden="1" x14ac:dyDescent="0.2">
      <c r="A851" t="s">
        <v>18</v>
      </c>
      <c r="B851" s="4" t="s">
        <v>442</v>
      </c>
      <c r="C851" s="5">
        <v>44924</v>
      </c>
      <c r="D851" t="s">
        <v>24</v>
      </c>
      <c r="E851" t="s">
        <v>350</v>
      </c>
      <c r="F851" t="s">
        <v>368</v>
      </c>
      <c r="G851" s="6">
        <v>200</v>
      </c>
      <c r="H851" s="7">
        <v>0.05</v>
      </c>
      <c r="I851" s="7">
        <v>8.5</v>
      </c>
    </row>
    <row r="852" spans="1:9" hidden="1" x14ac:dyDescent="0.2">
      <c r="A852" t="s">
        <v>18</v>
      </c>
      <c r="B852" s="4" t="s">
        <v>443</v>
      </c>
      <c r="C852" s="5">
        <v>44915</v>
      </c>
      <c r="D852" t="s">
        <v>24</v>
      </c>
      <c r="E852" t="s">
        <v>154</v>
      </c>
      <c r="F852" t="s">
        <v>368</v>
      </c>
      <c r="G852" s="6">
        <v>500</v>
      </c>
      <c r="H852" s="7">
        <v>0.51900000000000002</v>
      </c>
      <c r="I852" s="7">
        <v>220.41</v>
      </c>
    </row>
    <row r="853" spans="1:9" hidden="1" x14ac:dyDescent="0.2">
      <c r="A853" t="s">
        <v>18</v>
      </c>
      <c r="B853" s="4" t="s">
        <v>443</v>
      </c>
      <c r="C853" s="5">
        <v>44915</v>
      </c>
      <c r="D853" t="s">
        <v>35</v>
      </c>
      <c r="E853" t="s">
        <v>154</v>
      </c>
      <c r="F853" t="s">
        <v>368</v>
      </c>
      <c r="G853" s="6">
        <v>500</v>
      </c>
      <c r="H853" s="7">
        <v>1.1559999999999999</v>
      </c>
      <c r="I853" s="7">
        <v>577.91</v>
      </c>
    </row>
    <row r="854" spans="1:9" hidden="1" x14ac:dyDescent="0.2">
      <c r="A854" t="s">
        <v>18</v>
      </c>
      <c r="B854" s="4" t="s">
        <v>444</v>
      </c>
      <c r="C854" s="5">
        <v>44914</v>
      </c>
      <c r="D854" t="s">
        <v>41</v>
      </c>
      <c r="E854" t="s">
        <v>328</v>
      </c>
      <c r="F854" t="s">
        <v>368</v>
      </c>
      <c r="G854" s="6">
        <v>95</v>
      </c>
      <c r="H854" s="7">
        <v>1.1000000000000001</v>
      </c>
      <c r="I854" s="7">
        <v>104.5</v>
      </c>
    </row>
    <row r="855" spans="1:9" hidden="1" x14ac:dyDescent="0.2">
      <c r="A855" t="s">
        <v>18</v>
      </c>
      <c r="B855" s="4" t="s">
        <v>445</v>
      </c>
      <c r="C855" s="5">
        <v>44911</v>
      </c>
      <c r="D855" t="s">
        <v>41</v>
      </c>
      <c r="E855" t="s">
        <v>331</v>
      </c>
      <c r="F855" t="s">
        <v>368</v>
      </c>
      <c r="G855" s="6">
        <v>90</v>
      </c>
      <c r="H855" s="7">
        <v>0.70199999999999996</v>
      </c>
      <c r="I855" s="7">
        <v>63.14</v>
      </c>
    </row>
    <row r="856" spans="1:9" hidden="1" x14ac:dyDescent="0.2">
      <c r="A856" t="s">
        <v>18</v>
      </c>
      <c r="B856" s="4" t="s">
        <v>446</v>
      </c>
      <c r="C856" s="5">
        <v>44909</v>
      </c>
      <c r="D856" t="s">
        <v>41</v>
      </c>
      <c r="E856" t="s">
        <v>284</v>
      </c>
      <c r="F856" t="s">
        <v>368</v>
      </c>
      <c r="G856" s="6">
        <v>55</v>
      </c>
      <c r="H856" s="7">
        <v>1.1000000000000001</v>
      </c>
      <c r="I856" s="7">
        <v>60.5</v>
      </c>
    </row>
    <row r="857" spans="1:9" hidden="1" x14ac:dyDescent="0.2">
      <c r="A857" t="s">
        <v>18</v>
      </c>
      <c r="B857" s="4" t="s">
        <v>446</v>
      </c>
      <c r="C857" s="5">
        <v>44909</v>
      </c>
      <c r="D857" t="s">
        <v>41</v>
      </c>
      <c r="E857" t="s">
        <v>296</v>
      </c>
      <c r="F857" t="s">
        <v>368</v>
      </c>
      <c r="G857" s="6">
        <v>78</v>
      </c>
      <c r="H857" s="7">
        <v>0.82</v>
      </c>
      <c r="I857" s="7">
        <v>63.96</v>
      </c>
    </row>
    <row r="858" spans="1:9" hidden="1" x14ac:dyDescent="0.2">
      <c r="A858" t="s">
        <v>18</v>
      </c>
      <c r="B858" s="4" t="s">
        <v>446</v>
      </c>
      <c r="C858" s="5">
        <v>44909</v>
      </c>
      <c r="D858" t="s">
        <v>41</v>
      </c>
      <c r="E858" t="s">
        <v>297</v>
      </c>
      <c r="F858" t="s">
        <v>368</v>
      </c>
      <c r="G858" s="6">
        <v>91</v>
      </c>
      <c r="H858" s="7">
        <v>0.78</v>
      </c>
      <c r="I858" s="7">
        <v>70.98</v>
      </c>
    </row>
    <row r="859" spans="1:9" hidden="1" x14ac:dyDescent="0.2">
      <c r="A859" t="s">
        <v>18</v>
      </c>
      <c r="B859" s="4" t="s">
        <v>446</v>
      </c>
      <c r="C859" s="5">
        <v>44909</v>
      </c>
      <c r="D859" t="s">
        <v>41</v>
      </c>
      <c r="E859" t="s">
        <v>329</v>
      </c>
      <c r="F859" t="s">
        <v>368</v>
      </c>
      <c r="G859" s="6">
        <v>171</v>
      </c>
      <c r="H859" s="7">
        <v>0.27</v>
      </c>
      <c r="I859" s="7">
        <v>46.17</v>
      </c>
    </row>
    <row r="860" spans="1:9" hidden="1" x14ac:dyDescent="0.2">
      <c r="A860" t="s">
        <v>18</v>
      </c>
      <c r="B860" s="4" t="s">
        <v>447</v>
      </c>
      <c r="C860" s="5">
        <v>44907</v>
      </c>
      <c r="D860" t="s">
        <v>35</v>
      </c>
      <c r="E860" t="s">
        <v>44</v>
      </c>
      <c r="F860" t="s">
        <v>368</v>
      </c>
      <c r="G860" s="6">
        <v>300</v>
      </c>
      <c r="H860" s="7">
        <v>0.57899999999999996</v>
      </c>
      <c r="I860" s="7">
        <v>173.84</v>
      </c>
    </row>
    <row r="861" spans="1:9" hidden="1" x14ac:dyDescent="0.2">
      <c r="A861" t="s">
        <v>18</v>
      </c>
      <c r="B861" s="4" t="s">
        <v>447</v>
      </c>
      <c r="C861" s="5">
        <v>44907</v>
      </c>
      <c r="D861" t="s">
        <v>35</v>
      </c>
      <c r="E861" t="s">
        <v>44</v>
      </c>
      <c r="F861" t="s">
        <v>368</v>
      </c>
      <c r="G861" s="6">
        <v>300</v>
      </c>
      <c r="H861" s="7">
        <v>0.70799999999999996</v>
      </c>
      <c r="I861" s="7">
        <v>212.47</v>
      </c>
    </row>
    <row r="862" spans="1:9" hidden="1" x14ac:dyDescent="0.2">
      <c r="A862" t="s">
        <v>18</v>
      </c>
      <c r="B862" s="4" t="s">
        <v>448</v>
      </c>
      <c r="C862" s="5">
        <v>44900</v>
      </c>
      <c r="D862" t="s">
        <v>35</v>
      </c>
      <c r="E862" t="s">
        <v>37</v>
      </c>
      <c r="F862" t="s">
        <v>368</v>
      </c>
      <c r="G862" s="6">
        <v>400</v>
      </c>
      <c r="H862" s="7">
        <v>0.13100000000000001</v>
      </c>
      <c r="I862" s="7">
        <v>52.43</v>
      </c>
    </row>
    <row r="863" spans="1:9" hidden="1" x14ac:dyDescent="0.2">
      <c r="A863" t="s">
        <v>18</v>
      </c>
      <c r="B863" s="4" t="s">
        <v>448</v>
      </c>
      <c r="C863" s="5">
        <v>44900</v>
      </c>
      <c r="D863" t="s">
        <v>24</v>
      </c>
      <c r="E863" t="s">
        <v>37</v>
      </c>
      <c r="F863" t="s">
        <v>368</v>
      </c>
      <c r="G863" s="6">
        <v>400</v>
      </c>
      <c r="H863" s="7">
        <v>0.6</v>
      </c>
      <c r="I863" s="7">
        <v>204.11</v>
      </c>
    </row>
    <row r="864" spans="1:9" hidden="1" x14ac:dyDescent="0.2">
      <c r="A864" t="s">
        <v>18</v>
      </c>
      <c r="B864" s="4" t="s">
        <v>448</v>
      </c>
      <c r="C864" s="5">
        <v>44900</v>
      </c>
      <c r="D864" t="s">
        <v>35</v>
      </c>
      <c r="E864" t="s">
        <v>37</v>
      </c>
      <c r="F864" t="s">
        <v>368</v>
      </c>
      <c r="G864" s="6">
        <v>400</v>
      </c>
      <c r="H864" s="7">
        <v>0.32900000000000001</v>
      </c>
      <c r="I864" s="7">
        <v>131.66</v>
      </c>
    </row>
    <row r="865" spans="1:9" hidden="1" x14ac:dyDescent="0.2">
      <c r="A865" t="s">
        <v>18</v>
      </c>
      <c r="B865" s="4" t="s">
        <v>449</v>
      </c>
      <c r="C865" s="5">
        <v>44896</v>
      </c>
      <c r="D865" t="s">
        <v>24</v>
      </c>
      <c r="E865" t="s">
        <v>289</v>
      </c>
      <c r="F865" t="s">
        <v>368</v>
      </c>
      <c r="G865" s="6">
        <v>550</v>
      </c>
      <c r="H865" s="7">
        <v>1.7000000000000001E-2</v>
      </c>
      <c r="I865" s="7">
        <v>8.06</v>
      </c>
    </row>
    <row r="866" spans="1:9" hidden="1" x14ac:dyDescent="0.2">
      <c r="A866" t="s">
        <v>18</v>
      </c>
      <c r="B866" s="4" t="s">
        <v>450</v>
      </c>
      <c r="C866" s="5">
        <v>44895</v>
      </c>
      <c r="D866" t="s">
        <v>35</v>
      </c>
      <c r="E866" t="s">
        <v>107</v>
      </c>
      <c r="F866" t="s">
        <v>368</v>
      </c>
      <c r="G866" s="6">
        <v>300</v>
      </c>
      <c r="H866" s="7">
        <v>0.17</v>
      </c>
      <c r="I866" s="7">
        <v>51.06</v>
      </c>
    </row>
    <row r="867" spans="1:9" hidden="1" x14ac:dyDescent="0.2">
      <c r="A867" t="s">
        <v>18</v>
      </c>
      <c r="B867" s="4" t="s">
        <v>450</v>
      </c>
      <c r="C867" s="5">
        <v>44895</v>
      </c>
      <c r="D867" t="s">
        <v>24</v>
      </c>
      <c r="E867" t="s">
        <v>107</v>
      </c>
      <c r="F867" t="s">
        <v>368</v>
      </c>
      <c r="G867" s="6">
        <v>300</v>
      </c>
      <c r="H867" s="7">
        <v>0.63400000000000001</v>
      </c>
      <c r="I867" s="7">
        <v>161.79</v>
      </c>
    </row>
    <row r="868" spans="1:9" x14ac:dyDescent="0.2">
      <c r="A868" t="s">
        <v>8</v>
      </c>
      <c r="B868" s="4" t="s">
        <v>451</v>
      </c>
      <c r="C868" s="5">
        <v>44886</v>
      </c>
      <c r="D868" t="s">
        <v>14</v>
      </c>
      <c r="E868" t="s">
        <v>452</v>
      </c>
      <c r="F868" t="s">
        <v>368</v>
      </c>
      <c r="G868" s="6">
        <v>0</v>
      </c>
      <c r="H868" s="7" t="s">
        <v>17</v>
      </c>
      <c r="I868" s="7" t="s">
        <v>17</v>
      </c>
    </row>
    <row r="869" spans="1:9" hidden="1" x14ac:dyDescent="0.2">
      <c r="A869" t="s">
        <v>18</v>
      </c>
      <c r="B869" s="4" t="s">
        <v>451</v>
      </c>
      <c r="C869" s="5">
        <v>44886</v>
      </c>
      <c r="D869" t="s">
        <v>41</v>
      </c>
      <c r="E869" t="s">
        <v>328</v>
      </c>
      <c r="F869" t="s">
        <v>368</v>
      </c>
      <c r="G869" s="6">
        <v>95</v>
      </c>
      <c r="H869" s="7">
        <v>1.1000000000000001</v>
      </c>
      <c r="I869" s="7">
        <v>104.5</v>
      </c>
    </row>
    <row r="870" spans="1:9" hidden="1" x14ac:dyDescent="0.2">
      <c r="A870" t="s">
        <v>8</v>
      </c>
      <c r="B870" s="4" t="s">
        <v>453</v>
      </c>
      <c r="C870" s="5">
        <v>44883</v>
      </c>
      <c r="D870" t="s">
        <v>21</v>
      </c>
      <c r="E870" t="s">
        <v>452</v>
      </c>
      <c r="F870" t="s">
        <v>368</v>
      </c>
      <c r="G870" s="6">
        <v>133</v>
      </c>
      <c r="H870" s="7" t="s">
        <v>17</v>
      </c>
      <c r="I870" s="7" t="s">
        <v>17</v>
      </c>
    </row>
    <row r="871" spans="1:9" hidden="1" x14ac:dyDescent="0.2">
      <c r="A871" t="s">
        <v>18</v>
      </c>
      <c r="B871" s="4" t="s">
        <v>453</v>
      </c>
      <c r="C871" s="5">
        <v>44883</v>
      </c>
      <c r="D871" t="s">
        <v>20</v>
      </c>
      <c r="E871" t="s">
        <v>452</v>
      </c>
      <c r="F871" t="s">
        <v>368</v>
      </c>
      <c r="G871" s="6">
        <v>133</v>
      </c>
      <c r="H871" s="7" t="s">
        <v>17</v>
      </c>
      <c r="I871" s="7" t="s">
        <v>17</v>
      </c>
    </row>
    <row r="872" spans="1:9" hidden="1" x14ac:dyDescent="0.2">
      <c r="A872" t="s">
        <v>18</v>
      </c>
      <c r="B872" s="4" t="s">
        <v>453</v>
      </c>
      <c r="C872" s="5">
        <v>44883</v>
      </c>
      <c r="D872" t="s">
        <v>41</v>
      </c>
      <c r="E872" t="s">
        <v>331</v>
      </c>
      <c r="F872" t="s">
        <v>368</v>
      </c>
      <c r="G872" s="6">
        <v>90</v>
      </c>
      <c r="H872" s="7">
        <v>0.78800000000000003</v>
      </c>
      <c r="I872" s="7">
        <v>70.930000000000007</v>
      </c>
    </row>
    <row r="873" spans="1:9" hidden="1" x14ac:dyDescent="0.2">
      <c r="A873" t="s">
        <v>18</v>
      </c>
      <c r="B873" s="4" t="s">
        <v>454</v>
      </c>
      <c r="C873" s="5">
        <v>44881</v>
      </c>
      <c r="D873" t="s">
        <v>41</v>
      </c>
      <c r="E873" t="s">
        <v>284</v>
      </c>
      <c r="F873" t="s">
        <v>368</v>
      </c>
      <c r="G873" s="6">
        <v>55</v>
      </c>
      <c r="H873" s="7">
        <v>1.1000000000000001</v>
      </c>
      <c r="I873" s="7">
        <v>60.5</v>
      </c>
    </row>
    <row r="874" spans="1:9" hidden="1" x14ac:dyDescent="0.2">
      <c r="A874" t="s">
        <v>18</v>
      </c>
      <c r="B874" s="4" t="s">
        <v>454</v>
      </c>
      <c r="C874" s="5">
        <v>44881</v>
      </c>
      <c r="D874" t="s">
        <v>41</v>
      </c>
      <c r="E874" t="s">
        <v>296</v>
      </c>
      <c r="F874" t="s">
        <v>368</v>
      </c>
      <c r="G874" s="6">
        <v>78</v>
      </c>
      <c r="H874" s="7">
        <v>0.82</v>
      </c>
      <c r="I874" s="7">
        <v>63.96</v>
      </c>
    </row>
    <row r="875" spans="1:9" hidden="1" x14ac:dyDescent="0.2">
      <c r="A875" t="s">
        <v>18</v>
      </c>
      <c r="B875" s="4" t="s">
        <v>454</v>
      </c>
      <c r="C875" s="5">
        <v>44881</v>
      </c>
      <c r="D875" t="s">
        <v>41</v>
      </c>
      <c r="E875" t="s">
        <v>297</v>
      </c>
      <c r="F875" t="s">
        <v>368</v>
      </c>
      <c r="G875" s="6">
        <v>91</v>
      </c>
      <c r="H875" s="7">
        <v>0.78</v>
      </c>
      <c r="I875" s="7">
        <v>70.98</v>
      </c>
    </row>
    <row r="876" spans="1:9" hidden="1" x14ac:dyDescent="0.2">
      <c r="A876" t="s">
        <v>18</v>
      </c>
      <c r="B876" s="4" t="s">
        <v>454</v>
      </c>
      <c r="C876" s="5">
        <v>44881</v>
      </c>
      <c r="D876" t="s">
        <v>41</v>
      </c>
      <c r="E876" t="s">
        <v>329</v>
      </c>
      <c r="F876" t="s">
        <v>368</v>
      </c>
      <c r="G876" s="6">
        <v>171</v>
      </c>
      <c r="H876" s="7">
        <v>0.28000000000000003</v>
      </c>
      <c r="I876" s="7">
        <v>47.88</v>
      </c>
    </row>
    <row r="877" spans="1:9" x14ac:dyDescent="0.2">
      <c r="A877" t="s">
        <v>8</v>
      </c>
      <c r="B877" s="4" t="s">
        <v>455</v>
      </c>
      <c r="C877" s="5">
        <v>44873</v>
      </c>
      <c r="D877" t="s">
        <v>14</v>
      </c>
      <c r="E877" t="s">
        <v>456</v>
      </c>
      <c r="F877" t="s">
        <v>368</v>
      </c>
      <c r="G877" s="6">
        <v>28</v>
      </c>
      <c r="H877" s="7" t="s">
        <v>17</v>
      </c>
      <c r="I877" s="7" t="s">
        <v>17</v>
      </c>
    </row>
    <row r="878" spans="1:9" hidden="1" x14ac:dyDescent="0.2">
      <c r="A878" t="s">
        <v>18</v>
      </c>
      <c r="B878" s="4" t="s">
        <v>457</v>
      </c>
      <c r="C878" s="5">
        <v>44869</v>
      </c>
      <c r="D878" t="s">
        <v>81</v>
      </c>
      <c r="E878" t="s">
        <v>154</v>
      </c>
      <c r="F878" t="s">
        <v>368</v>
      </c>
      <c r="G878" s="6">
        <v>200</v>
      </c>
      <c r="H878" s="7">
        <v>29.844999999999999</v>
      </c>
      <c r="I878" s="7">
        <v>5969</v>
      </c>
    </row>
    <row r="879" spans="1:9" hidden="1" x14ac:dyDescent="0.2">
      <c r="A879" t="s">
        <v>18</v>
      </c>
      <c r="B879" s="4" t="s">
        <v>458</v>
      </c>
      <c r="C879" s="5">
        <v>44866</v>
      </c>
      <c r="D879" t="s">
        <v>24</v>
      </c>
      <c r="E879" t="s">
        <v>289</v>
      </c>
      <c r="F879" t="s">
        <v>368</v>
      </c>
      <c r="G879" s="6">
        <v>550</v>
      </c>
      <c r="H879" s="7">
        <v>1.7000000000000001E-2</v>
      </c>
      <c r="I879" s="7">
        <v>8.06</v>
      </c>
    </row>
    <row r="880" spans="1:9" x14ac:dyDescent="0.2">
      <c r="A880" t="s">
        <v>18</v>
      </c>
      <c r="B880" s="4" t="s">
        <v>459</v>
      </c>
      <c r="C880" s="5">
        <v>44859</v>
      </c>
      <c r="D880" t="s">
        <v>28</v>
      </c>
      <c r="E880" t="s">
        <v>456</v>
      </c>
      <c r="F880" t="s">
        <v>368</v>
      </c>
      <c r="G880" s="6">
        <v>28</v>
      </c>
      <c r="H880" s="7" t="s">
        <v>17</v>
      </c>
      <c r="I880" s="7" t="s">
        <v>17</v>
      </c>
    </row>
    <row r="881" spans="1:9" x14ac:dyDescent="0.2">
      <c r="A881" t="s">
        <v>18</v>
      </c>
      <c r="B881" s="4" t="s">
        <v>460</v>
      </c>
      <c r="C881" s="5">
        <v>44858</v>
      </c>
      <c r="D881" t="s">
        <v>28</v>
      </c>
      <c r="E881" t="s">
        <v>452</v>
      </c>
      <c r="F881" t="s">
        <v>368</v>
      </c>
      <c r="G881" s="6">
        <v>133</v>
      </c>
      <c r="H881" s="7" t="s">
        <v>17</v>
      </c>
      <c r="I881" s="7" t="s">
        <v>17</v>
      </c>
    </row>
    <row r="882" spans="1:9" hidden="1" x14ac:dyDescent="0.2">
      <c r="A882" t="s">
        <v>18</v>
      </c>
      <c r="B882" s="4" t="s">
        <v>461</v>
      </c>
      <c r="C882" s="5">
        <v>44854</v>
      </c>
      <c r="D882" t="s">
        <v>41</v>
      </c>
      <c r="E882" t="s">
        <v>328</v>
      </c>
      <c r="F882" t="s">
        <v>368</v>
      </c>
      <c r="G882" s="6">
        <v>95</v>
      </c>
      <c r="H882" s="7">
        <v>1.1000000000000001</v>
      </c>
      <c r="I882" s="7">
        <v>104.5</v>
      </c>
    </row>
    <row r="883" spans="1:9" hidden="1" x14ac:dyDescent="0.2">
      <c r="A883" t="s">
        <v>18</v>
      </c>
      <c r="B883" s="4" t="s">
        <v>462</v>
      </c>
      <c r="C883" s="5">
        <v>44853</v>
      </c>
      <c r="D883" t="s">
        <v>41</v>
      </c>
      <c r="E883" t="s">
        <v>331</v>
      </c>
      <c r="F883" t="s">
        <v>368</v>
      </c>
      <c r="G883" s="6">
        <v>90</v>
      </c>
      <c r="H883" s="7">
        <v>0.85</v>
      </c>
      <c r="I883" s="7">
        <v>76.52</v>
      </c>
    </row>
    <row r="884" spans="1:9" x14ac:dyDescent="0.2">
      <c r="A884" t="s">
        <v>8</v>
      </c>
      <c r="B884" s="4" t="s">
        <v>463</v>
      </c>
      <c r="C884" s="5">
        <v>44852</v>
      </c>
      <c r="D884" t="s">
        <v>14</v>
      </c>
      <c r="E884" t="s">
        <v>360</v>
      </c>
      <c r="F884" t="s">
        <v>368</v>
      </c>
      <c r="G884" s="6">
        <v>0</v>
      </c>
      <c r="H884" s="7" t="s">
        <v>17</v>
      </c>
      <c r="I884" s="7" t="s">
        <v>17</v>
      </c>
    </row>
    <row r="885" spans="1:9" hidden="1" x14ac:dyDescent="0.2">
      <c r="A885" t="s">
        <v>18</v>
      </c>
      <c r="B885" s="4" t="s">
        <v>464</v>
      </c>
      <c r="C885" s="5">
        <v>44851</v>
      </c>
      <c r="D885" t="s">
        <v>41</v>
      </c>
      <c r="E885" t="s">
        <v>284</v>
      </c>
      <c r="F885" t="s">
        <v>368</v>
      </c>
      <c r="G885" s="6">
        <v>55</v>
      </c>
      <c r="H885" s="7">
        <v>1.1000000000000001</v>
      </c>
      <c r="I885" s="7">
        <v>60.5</v>
      </c>
    </row>
    <row r="886" spans="1:9" hidden="1" x14ac:dyDescent="0.2">
      <c r="A886" t="s">
        <v>18</v>
      </c>
      <c r="B886" s="4" t="s">
        <v>464</v>
      </c>
      <c r="C886" s="5">
        <v>44851</v>
      </c>
      <c r="D886" t="s">
        <v>41</v>
      </c>
      <c r="E886" t="s">
        <v>296</v>
      </c>
      <c r="F886" t="s">
        <v>368</v>
      </c>
      <c r="G886" s="6">
        <v>78</v>
      </c>
      <c r="H886" s="7">
        <v>0.82</v>
      </c>
      <c r="I886" s="7">
        <v>63.96</v>
      </c>
    </row>
    <row r="887" spans="1:9" hidden="1" x14ac:dyDescent="0.2">
      <c r="A887" t="s">
        <v>18</v>
      </c>
      <c r="B887" s="4" t="s">
        <v>464</v>
      </c>
      <c r="C887" s="5">
        <v>44851</v>
      </c>
      <c r="D887" t="s">
        <v>41</v>
      </c>
      <c r="E887" t="s">
        <v>297</v>
      </c>
      <c r="F887" t="s">
        <v>368</v>
      </c>
      <c r="G887" s="6">
        <v>91</v>
      </c>
      <c r="H887" s="7">
        <v>0.8</v>
      </c>
      <c r="I887" s="7">
        <v>72.8</v>
      </c>
    </row>
    <row r="888" spans="1:9" hidden="1" x14ac:dyDescent="0.2">
      <c r="A888" t="s">
        <v>8</v>
      </c>
      <c r="B888" s="4" t="s">
        <v>464</v>
      </c>
      <c r="C888" s="5">
        <v>44851</v>
      </c>
      <c r="D888" t="s">
        <v>21</v>
      </c>
      <c r="E888" t="s">
        <v>360</v>
      </c>
      <c r="F888" t="s">
        <v>368</v>
      </c>
      <c r="G888" s="6">
        <v>22</v>
      </c>
      <c r="H888" s="7" t="s">
        <v>17</v>
      </c>
      <c r="I888" s="7" t="s">
        <v>17</v>
      </c>
    </row>
    <row r="889" spans="1:9" hidden="1" x14ac:dyDescent="0.2">
      <c r="A889" t="s">
        <v>18</v>
      </c>
      <c r="B889" s="4" t="s">
        <v>464</v>
      </c>
      <c r="C889" s="5">
        <v>44851</v>
      </c>
      <c r="D889" t="s">
        <v>20</v>
      </c>
      <c r="E889" t="s">
        <v>360</v>
      </c>
      <c r="F889" t="s">
        <v>368</v>
      </c>
      <c r="G889" s="6">
        <v>22</v>
      </c>
      <c r="H889" s="7" t="s">
        <v>17</v>
      </c>
      <c r="I889" s="7" t="s">
        <v>17</v>
      </c>
    </row>
    <row r="890" spans="1:9" hidden="1" x14ac:dyDescent="0.2">
      <c r="A890" t="s">
        <v>18</v>
      </c>
      <c r="B890" s="4" t="s">
        <v>464</v>
      </c>
      <c r="C890" s="5">
        <v>44851</v>
      </c>
      <c r="D890" t="s">
        <v>41</v>
      </c>
      <c r="E890" t="s">
        <v>329</v>
      </c>
      <c r="F890" t="s">
        <v>368</v>
      </c>
      <c r="G890" s="6">
        <v>171</v>
      </c>
      <c r="H890" s="7">
        <v>0.45</v>
      </c>
      <c r="I890" s="7">
        <v>76.95</v>
      </c>
    </row>
    <row r="891" spans="1:9" hidden="1" x14ac:dyDescent="0.2">
      <c r="A891" t="s">
        <v>18</v>
      </c>
      <c r="B891" s="4" t="s">
        <v>465</v>
      </c>
      <c r="C891" s="5">
        <v>44841</v>
      </c>
      <c r="D891" t="s">
        <v>35</v>
      </c>
      <c r="E891" t="s">
        <v>439</v>
      </c>
      <c r="F891" t="s">
        <v>368</v>
      </c>
      <c r="G891" s="6">
        <v>700</v>
      </c>
      <c r="H891" s="7">
        <v>2.8000000000000001E-2</v>
      </c>
      <c r="I891" s="7">
        <v>19.68</v>
      </c>
    </row>
    <row r="892" spans="1:9" hidden="1" x14ac:dyDescent="0.2">
      <c r="A892" t="s">
        <v>18</v>
      </c>
      <c r="B892" s="4" t="s">
        <v>465</v>
      </c>
      <c r="C892" s="5">
        <v>44841</v>
      </c>
      <c r="D892" t="s">
        <v>24</v>
      </c>
      <c r="E892" t="s">
        <v>439</v>
      </c>
      <c r="F892" t="s">
        <v>368</v>
      </c>
      <c r="G892" s="6">
        <v>700</v>
      </c>
      <c r="H892" s="7">
        <v>5.5E-2</v>
      </c>
      <c r="I892" s="7">
        <v>32.58</v>
      </c>
    </row>
    <row r="893" spans="1:9" hidden="1" x14ac:dyDescent="0.2">
      <c r="A893" t="s">
        <v>18</v>
      </c>
      <c r="B893" s="4" t="s">
        <v>466</v>
      </c>
      <c r="C893" s="5">
        <v>44837</v>
      </c>
      <c r="D893" t="s">
        <v>24</v>
      </c>
      <c r="E893" t="s">
        <v>289</v>
      </c>
      <c r="F893" t="s">
        <v>368</v>
      </c>
      <c r="G893" s="6">
        <v>550</v>
      </c>
      <c r="H893" s="7">
        <v>1.7000000000000001E-2</v>
      </c>
      <c r="I893" s="7">
        <v>8.06</v>
      </c>
    </row>
    <row r="894" spans="1:9" hidden="1" x14ac:dyDescent="0.2">
      <c r="A894" t="s">
        <v>18</v>
      </c>
      <c r="B894" s="4" t="s">
        <v>467</v>
      </c>
      <c r="C894" s="5">
        <v>44834</v>
      </c>
      <c r="D894" t="s">
        <v>24</v>
      </c>
      <c r="E894" t="s">
        <v>107</v>
      </c>
      <c r="F894" t="s">
        <v>368</v>
      </c>
      <c r="G894" s="6">
        <v>300</v>
      </c>
      <c r="H894" s="7">
        <v>0.27400000000000002</v>
      </c>
      <c r="I894" s="7">
        <v>69.8</v>
      </c>
    </row>
    <row r="895" spans="1:9" hidden="1" x14ac:dyDescent="0.2">
      <c r="A895" t="s">
        <v>18</v>
      </c>
      <c r="B895" s="4" t="s">
        <v>467</v>
      </c>
      <c r="C895" s="5">
        <v>44834</v>
      </c>
      <c r="D895" t="s">
        <v>24</v>
      </c>
      <c r="E895" t="s">
        <v>350</v>
      </c>
      <c r="F895" t="s">
        <v>368</v>
      </c>
      <c r="G895" s="6">
        <v>200</v>
      </c>
      <c r="H895" s="7">
        <v>0.05</v>
      </c>
      <c r="I895" s="7">
        <v>8.5</v>
      </c>
    </row>
    <row r="896" spans="1:9" x14ac:dyDescent="0.2">
      <c r="A896" t="s">
        <v>18</v>
      </c>
      <c r="B896" s="4" t="s">
        <v>468</v>
      </c>
      <c r="C896" s="5">
        <v>44830</v>
      </c>
      <c r="D896" t="s">
        <v>28</v>
      </c>
      <c r="E896" t="s">
        <v>360</v>
      </c>
      <c r="F896" t="s">
        <v>368</v>
      </c>
      <c r="G896" s="6">
        <v>22</v>
      </c>
      <c r="H896" s="7" t="s">
        <v>17</v>
      </c>
      <c r="I896" s="7" t="s">
        <v>17</v>
      </c>
    </row>
    <row r="897" spans="1:9" hidden="1" x14ac:dyDescent="0.2">
      <c r="A897" t="s">
        <v>8</v>
      </c>
      <c r="B897" s="4" t="s">
        <v>469</v>
      </c>
      <c r="C897" s="5">
        <v>44825</v>
      </c>
      <c r="D897" t="s">
        <v>81</v>
      </c>
      <c r="E897" t="s">
        <v>154</v>
      </c>
      <c r="F897" t="s">
        <v>368</v>
      </c>
      <c r="G897" s="6">
        <v>500</v>
      </c>
      <c r="H897" s="7">
        <v>30.372</v>
      </c>
      <c r="I897" s="7">
        <v>15186</v>
      </c>
    </row>
    <row r="898" spans="1:9" hidden="1" x14ac:dyDescent="0.2">
      <c r="A898" t="s">
        <v>18</v>
      </c>
      <c r="B898" s="4" t="s">
        <v>470</v>
      </c>
      <c r="C898" s="5">
        <v>44824</v>
      </c>
      <c r="D898" t="s">
        <v>24</v>
      </c>
      <c r="E898" t="s">
        <v>152</v>
      </c>
      <c r="F898" t="s">
        <v>368</v>
      </c>
      <c r="G898" s="6">
        <v>500</v>
      </c>
      <c r="H898" s="7">
        <v>0.29799999999999999</v>
      </c>
      <c r="I898" s="7">
        <v>126.61</v>
      </c>
    </row>
    <row r="899" spans="1:9" hidden="1" x14ac:dyDescent="0.2">
      <c r="A899" t="s">
        <v>18</v>
      </c>
      <c r="B899" s="4" t="s">
        <v>470</v>
      </c>
      <c r="C899" s="5">
        <v>44824</v>
      </c>
      <c r="D899" t="s">
        <v>41</v>
      </c>
      <c r="E899" t="s">
        <v>328</v>
      </c>
      <c r="F899" t="s">
        <v>368</v>
      </c>
      <c r="G899" s="6">
        <v>95</v>
      </c>
      <c r="H899" s="7">
        <v>1.1000000000000001</v>
      </c>
      <c r="I899" s="7">
        <v>104.5</v>
      </c>
    </row>
    <row r="900" spans="1:9" hidden="1" x14ac:dyDescent="0.2">
      <c r="A900" t="s">
        <v>18</v>
      </c>
      <c r="B900" s="4" t="s">
        <v>470</v>
      </c>
      <c r="C900" s="5">
        <v>44824</v>
      </c>
      <c r="D900" t="s">
        <v>35</v>
      </c>
      <c r="E900" t="s">
        <v>154</v>
      </c>
      <c r="F900" t="s">
        <v>368</v>
      </c>
      <c r="G900" s="6">
        <v>800</v>
      </c>
      <c r="H900" s="7">
        <v>3.3660000000000001</v>
      </c>
      <c r="I900" s="7">
        <v>2692.8</v>
      </c>
    </row>
    <row r="901" spans="1:9" hidden="1" x14ac:dyDescent="0.2">
      <c r="A901" t="s">
        <v>18</v>
      </c>
      <c r="B901" s="4" t="s">
        <v>471</v>
      </c>
      <c r="C901" s="5">
        <v>44823</v>
      </c>
      <c r="D901" t="s">
        <v>41</v>
      </c>
      <c r="E901" t="s">
        <v>331</v>
      </c>
      <c r="F901" t="s">
        <v>368</v>
      </c>
      <c r="G901" s="6">
        <v>90</v>
      </c>
      <c r="H901" s="7">
        <v>1.2649999999999999</v>
      </c>
      <c r="I901" s="7">
        <v>113.85</v>
      </c>
    </row>
    <row r="902" spans="1:9" hidden="1" x14ac:dyDescent="0.2">
      <c r="A902" t="s">
        <v>18</v>
      </c>
      <c r="B902" s="4" t="s">
        <v>472</v>
      </c>
      <c r="C902" s="5">
        <v>44819</v>
      </c>
      <c r="D902" t="s">
        <v>41</v>
      </c>
      <c r="E902" t="s">
        <v>284</v>
      </c>
      <c r="F902" t="s">
        <v>368</v>
      </c>
      <c r="G902" s="6">
        <v>55</v>
      </c>
      <c r="H902" s="7">
        <v>1.1000000000000001</v>
      </c>
      <c r="I902" s="7">
        <v>60.5</v>
      </c>
    </row>
    <row r="903" spans="1:9" hidden="1" x14ac:dyDescent="0.2">
      <c r="A903" t="s">
        <v>18</v>
      </c>
      <c r="B903" s="4" t="s">
        <v>472</v>
      </c>
      <c r="C903" s="5">
        <v>44819</v>
      </c>
      <c r="D903" t="s">
        <v>41</v>
      </c>
      <c r="E903" t="s">
        <v>296</v>
      </c>
      <c r="F903" t="s">
        <v>368</v>
      </c>
      <c r="G903" s="6">
        <v>78</v>
      </c>
      <c r="H903" s="7">
        <v>0.82</v>
      </c>
      <c r="I903" s="7">
        <v>63.96</v>
      </c>
    </row>
    <row r="904" spans="1:9" hidden="1" x14ac:dyDescent="0.2">
      <c r="A904" t="s">
        <v>18</v>
      </c>
      <c r="B904" s="4" t="s">
        <v>472</v>
      </c>
      <c r="C904" s="5">
        <v>44819</v>
      </c>
      <c r="D904" t="s">
        <v>41</v>
      </c>
      <c r="E904" t="s">
        <v>297</v>
      </c>
      <c r="F904" t="s">
        <v>368</v>
      </c>
      <c r="G904" s="6">
        <v>91</v>
      </c>
      <c r="H904" s="7">
        <v>0.77</v>
      </c>
      <c r="I904" s="7">
        <v>70.069999999999993</v>
      </c>
    </row>
    <row r="905" spans="1:9" hidden="1" x14ac:dyDescent="0.2">
      <c r="A905" t="s">
        <v>18</v>
      </c>
      <c r="B905" s="4" t="s">
        <v>472</v>
      </c>
      <c r="C905" s="5">
        <v>44819</v>
      </c>
      <c r="D905" t="s">
        <v>41</v>
      </c>
      <c r="E905" t="s">
        <v>329</v>
      </c>
      <c r="F905" t="s">
        <v>368</v>
      </c>
      <c r="G905" s="6">
        <v>171</v>
      </c>
      <c r="H905" s="7">
        <v>0.45</v>
      </c>
      <c r="I905" s="7">
        <v>76.95</v>
      </c>
    </row>
    <row r="906" spans="1:9" hidden="1" x14ac:dyDescent="0.2">
      <c r="A906" t="s">
        <v>18</v>
      </c>
      <c r="B906" s="4" t="s">
        <v>473</v>
      </c>
      <c r="C906" s="5">
        <v>44805</v>
      </c>
      <c r="D906" t="s">
        <v>24</v>
      </c>
      <c r="E906" t="s">
        <v>289</v>
      </c>
      <c r="F906" t="s">
        <v>368</v>
      </c>
      <c r="G906" s="6">
        <v>550</v>
      </c>
      <c r="H906" s="7">
        <v>1.7000000000000001E-2</v>
      </c>
      <c r="I906" s="7">
        <v>8.06</v>
      </c>
    </row>
    <row r="907" spans="1:9" hidden="1" x14ac:dyDescent="0.2">
      <c r="A907" t="s">
        <v>18</v>
      </c>
      <c r="B907" s="4" t="s">
        <v>473</v>
      </c>
      <c r="C907" s="5">
        <v>44805</v>
      </c>
      <c r="D907" t="s">
        <v>24</v>
      </c>
      <c r="E907" t="s">
        <v>76</v>
      </c>
      <c r="F907" t="s">
        <v>368</v>
      </c>
      <c r="G907" s="6">
        <v>100</v>
      </c>
      <c r="H907" s="7">
        <v>1.5389999999999999</v>
      </c>
      <c r="I907" s="7">
        <v>130.84</v>
      </c>
    </row>
    <row r="908" spans="1:9" hidden="1" x14ac:dyDescent="0.2">
      <c r="A908" t="s">
        <v>18</v>
      </c>
      <c r="B908" s="4" t="s">
        <v>473</v>
      </c>
      <c r="C908" s="5">
        <v>44805</v>
      </c>
      <c r="D908" t="s">
        <v>35</v>
      </c>
      <c r="E908" t="s">
        <v>76</v>
      </c>
      <c r="F908" t="s">
        <v>368</v>
      </c>
      <c r="G908" s="6">
        <v>100</v>
      </c>
      <c r="H908" s="7">
        <v>2.0329999999999999</v>
      </c>
      <c r="I908" s="7">
        <v>203.26</v>
      </c>
    </row>
    <row r="909" spans="1:9" hidden="1" x14ac:dyDescent="0.2">
      <c r="A909" t="s">
        <v>18</v>
      </c>
      <c r="B909" s="4" t="s">
        <v>474</v>
      </c>
      <c r="C909" s="5">
        <v>44804</v>
      </c>
      <c r="D909" t="s">
        <v>24</v>
      </c>
      <c r="E909" t="s">
        <v>107</v>
      </c>
      <c r="F909" t="s">
        <v>368</v>
      </c>
      <c r="G909" s="6">
        <v>300</v>
      </c>
      <c r="H909" s="7">
        <v>0.57099999999999995</v>
      </c>
      <c r="I909" s="7">
        <v>145.52000000000001</v>
      </c>
    </row>
    <row r="910" spans="1:9" hidden="1" x14ac:dyDescent="0.2">
      <c r="A910" t="s">
        <v>18</v>
      </c>
      <c r="B910" s="4" t="s">
        <v>474</v>
      </c>
      <c r="C910" s="5">
        <v>44804</v>
      </c>
      <c r="D910" t="s">
        <v>41</v>
      </c>
      <c r="E910" t="s">
        <v>107</v>
      </c>
      <c r="F910" t="s">
        <v>368</v>
      </c>
      <c r="G910" s="6">
        <v>300</v>
      </c>
      <c r="H910" s="7">
        <v>4.0000000000000001E-3</v>
      </c>
      <c r="I910" s="7">
        <v>1.02</v>
      </c>
    </row>
    <row r="911" spans="1:9" hidden="1" x14ac:dyDescent="0.2">
      <c r="A911" t="s">
        <v>18</v>
      </c>
      <c r="B911" s="4" t="s">
        <v>474</v>
      </c>
      <c r="C911" s="5">
        <v>44804</v>
      </c>
      <c r="D911" t="s">
        <v>41</v>
      </c>
      <c r="E911" t="s">
        <v>107</v>
      </c>
      <c r="F911" t="s">
        <v>368</v>
      </c>
      <c r="G911" s="6">
        <v>300</v>
      </c>
      <c r="H911" s="7">
        <v>1.2999999999999999E-2</v>
      </c>
      <c r="I911" s="7">
        <v>2.94</v>
      </c>
    </row>
    <row r="912" spans="1:9" hidden="1" x14ac:dyDescent="0.2">
      <c r="A912" t="s">
        <v>18</v>
      </c>
      <c r="B912" s="4" t="s">
        <v>474</v>
      </c>
      <c r="C912" s="5">
        <v>44804</v>
      </c>
      <c r="D912" t="s">
        <v>35</v>
      </c>
      <c r="E912" t="s">
        <v>107</v>
      </c>
      <c r="F912" t="s">
        <v>368</v>
      </c>
      <c r="G912" s="6">
        <v>300</v>
      </c>
      <c r="H912" s="7">
        <v>0.2</v>
      </c>
      <c r="I912" s="7">
        <v>60.05</v>
      </c>
    </row>
    <row r="913" spans="1:9" hidden="1" x14ac:dyDescent="0.2">
      <c r="A913" t="s">
        <v>18</v>
      </c>
      <c r="B913" s="4" t="s">
        <v>474</v>
      </c>
      <c r="C913" s="5">
        <v>44804</v>
      </c>
      <c r="D913" t="s">
        <v>35</v>
      </c>
      <c r="E913" t="s">
        <v>154</v>
      </c>
      <c r="F913" t="s">
        <v>368</v>
      </c>
      <c r="G913" s="6">
        <v>800</v>
      </c>
      <c r="H913" s="7">
        <v>2.9390000000000001</v>
      </c>
      <c r="I913" s="7">
        <v>2351.08</v>
      </c>
    </row>
    <row r="914" spans="1:9" hidden="1" x14ac:dyDescent="0.2">
      <c r="A914" t="s">
        <v>18</v>
      </c>
      <c r="B914" s="4" t="s">
        <v>474</v>
      </c>
      <c r="C914" s="5">
        <v>44804</v>
      </c>
      <c r="D914" t="s">
        <v>24</v>
      </c>
      <c r="E914" t="s">
        <v>154</v>
      </c>
      <c r="F914" t="s">
        <v>368</v>
      </c>
      <c r="G914" s="6">
        <v>800</v>
      </c>
      <c r="H914" s="7">
        <v>0.42699999999999999</v>
      </c>
      <c r="I914" s="7">
        <v>290.45</v>
      </c>
    </row>
    <row r="915" spans="1:9" hidden="1" x14ac:dyDescent="0.2">
      <c r="A915" t="s">
        <v>18</v>
      </c>
      <c r="B915" s="4" t="s">
        <v>475</v>
      </c>
      <c r="C915" s="5">
        <v>44803</v>
      </c>
      <c r="D915" t="s">
        <v>24</v>
      </c>
      <c r="E915" t="s">
        <v>476</v>
      </c>
      <c r="F915" t="s">
        <v>368</v>
      </c>
      <c r="G915" s="6">
        <v>315</v>
      </c>
      <c r="H915" s="7">
        <v>0.113</v>
      </c>
      <c r="I915" s="7">
        <v>30.35</v>
      </c>
    </row>
    <row r="916" spans="1:9" hidden="1" x14ac:dyDescent="0.2">
      <c r="A916" t="s">
        <v>18</v>
      </c>
      <c r="B916" s="4" t="s">
        <v>477</v>
      </c>
      <c r="C916" s="5">
        <v>44799</v>
      </c>
      <c r="D916" t="s">
        <v>35</v>
      </c>
      <c r="E916" t="s">
        <v>37</v>
      </c>
      <c r="F916" t="s">
        <v>368</v>
      </c>
      <c r="G916" s="6">
        <v>400</v>
      </c>
      <c r="H916" s="7">
        <v>0.89600000000000002</v>
      </c>
      <c r="I916" s="7">
        <v>358.54</v>
      </c>
    </row>
    <row r="917" spans="1:9" hidden="1" x14ac:dyDescent="0.2">
      <c r="A917" t="s">
        <v>18</v>
      </c>
      <c r="B917" s="4" t="s">
        <v>477</v>
      </c>
      <c r="C917" s="5">
        <v>44799</v>
      </c>
      <c r="D917" t="s">
        <v>24</v>
      </c>
      <c r="E917" t="s">
        <v>37</v>
      </c>
      <c r="F917" t="s">
        <v>368</v>
      </c>
      <c r="G917" s="6">
        <v>400</v>
      </c>
      <c r="H917" s="7">
        <v>0.57499999999999996</v>
      </c>
      <c r="I917" s="7">
        <v>195.35</v>
      </c>
    </row>
    <row r="918" spans="1:9" hidden="1" x14ac:dyDescent="0.2">
      <c r="A918" t="s">
        <v>8</v>
      </c>
      <c r="B918" s="4" t="s">
        <v>478</v>
      </c>
      <c r="C918" s="5">
        <v>44795</v>
      </c>
      <c r="D918" t="s">
        <v>81</v>
      </c>
      <c r="E918" t="s">
        <v>479</v>
      </c>
      <c r="F918" t="s">
        <v>368</v>
      </c>
      <c r="G918" s="6">
        <v>100</v>
      </c>
      <c r="H918" s="7">
        <v>20.39</v>
      </c>
      <c r="I918" s="7">
        <v>2039</v>
      </c>
    </row>
    <row r="919" spans="1:9" hidden="1" x14ac:dyDescent="0.2">
      <c r="A919" t="s">
        <v>18</v>
      </c>
      <c r="B919" s="4" t="s">
        <v>480</v>
      </c>
      <c r="C919" s="5">
        <v>44790</v>
      </c>
      <c r="D919" t="s">
        <v>41</v>
      </c>
      <c r="E919" t="s">
        <v>328</v>
      </c>
      <c r="F919" t="s">
        <v>368</v>
      </c>
      <c r="G919" s="6">
        <v>95</v>
      </c>
      <c r="H919" s="7">
        <v>1.1000000000000001</v>
      </c>
      <c r="I919" s="7">
        <v>104.5</v>
      </c>
    </row>
    <row r="920" spans="1:9" hidden="1" x14ac:dyDescent="0.2">
      <c r="A920" t="s">
        <v>18</v>
      </c>
      <c r="B920" s="4" t="s">
        <v>480</v>
      </c>
      <c r="C920" s="5">
        <v>44790</v>
      </c>
      <c r="D920" t="s">
        <v>35</v>
      </c>
      <c r="E920" t="s">
        <v>129</v>
      </c>
      <c r="F920" t="s">
        <v>368</v>
      </c>
      <c r="G920" s="6">
        <v>400</v>
      </c>
      <c r="H920" s="7">
        <v>0.13200000000000001</v>
      </c>
      <c r="I920" s="7">
        <v>52.77</v>
      </c>
    </row>
    <row r="921" spans="1:9" hidden="1" x14ac:dyDescent="0.2">
      <c r="A921" t="s">
        <v>18</v>
      </c>
      <c r="B921" s="4" t="s">
        <v>480</v>
      </c>
      <c r="C921" s="5">
        <v>44790</v>
      </c>
      <c r="D921" t="s">
        <v>24</v>
      </c>
      <c r="E921" t="s">
        <v>129</v>
      </c>
      <c r="F921" t="s">
        <v>368</v>
      </c>
      <c r="G921" s="6">
        <v>400</v>
      </c>
      <c r="H921" s="7">
        <v>4.2999999999999997E-2</v>
      </c>
      <c r="I921" s="7">
        <v>14.71</v>
      </c>
    </row>
    <row r="922" spans="1:9" hidden="1" x14ac:dyDescent="0.2">
      <c r="A922" t="s">
        <v>18</v>
      </c>
      <c r="B922" s="4" t="s">
        <v>480</v>
      </c>
      <c r="C922" s="5">
        <v>44790</v>
      </c>
      <c r="D922" t="s">
        <v>24</v>
      </c>
      <c r="E922" t="s">
        <v>129</v>
      </c>
      <c r="F922" t="s">
        <v>368</v>
      </c>
      <c r="G922" s="6">
        <v>400</v>
      </c>
      <c r="H922" s="7">
        <v>3.6999999999999998E-2</v>
      </c>
      <c r="I922" s="7">
        <v>12.5</v>
      </c>
    </row>
    <row r="923" spans="1:9" hidden="1" x14ac:dyDescent="0.2">
      <c r="A923" t="s">
        <v>18</v>
      </c>
      <c r="B923" s="4" t="s">
        <v>480</v>
      </c>
      <c r="C923" s="5">
        <v>44790</v>
      </c>
      <c r="D923" t="s">
        <v>24</v>
      </c>
      <c r="E923" t="s">
        <v>129</v>
      </c>
      <c r="F923" t="s">
        <v>16</v>
      </c>
      <c r="G923" s="6">
        <v>400</v>
      </c>
      <c r="H923" s="7">
        <v>3.6999999999999998E-2</v>
      </c>
      <c r="I923" s="7">
        <v>12.5</v>
      </c>
    </row>
    <row r="924" spans="1:9" hidden="1" x14ac:dyDescent="0.2">
      <c r="A924" t="s">
        <v>18</v>
      </c>
      <c r="B924" s="4" t="s">
        <v>480</v>
      </c>
      <c r="C924" s="5">
        <v>44790</v>
      </c>
      <c r="D924" t="s">
        <v>24</v>
      </c>
      <c r="E924" t="s">
        <v>129</v>
      </c>
      <c r="F924" t="s">
        <v>16</v>
      </c>
      <c r="G924" s="6">
        <v>400</v>
      </c>
      <c r="H924" s="7">
        <v>4.2999999999999997E-2</v>
      </c>
      <c r="I924" s="7">
        <v>14.71</v>
      </c>
    </row>
    <row r="925" spans="1:9" hidden="1" x14ac:dyDescent="0.2">
      <c r="A925" t="s">
        <v>18</v>
      </c>
      <c r="B925" s="4" t="s">
        <v>480</v>
      </c>
      <c r="C925" s="5">
        <v>44790</v>
      </c>
      <c r="D925" t="s">
        <v>35</v>
      </c>
      <c r="E925" t="s">
        <v>129</v>
      </c>
      <c r="F925" t="s">
        <v>16</v>
      </c>
      <c r="G925" s="6">
        <v>400</v>
      </c>
      <c r="H925" s="7">
        <v>0.13200000000000001</v>
      </c>
      <c r="I925" s="7">
        <v>52.77</v>
      </c>
    </row>
    <row r="926" spans="1:9" hidden="1" x14ac:dyDescent="0.2">
      <c r="A926" t="s">
        <v>18</v>
      </c>
      <c r="B926" s="4" t="s">
        <v>481</v>
      </c>
      <c r="C926" s="5">
        <v>44789</v>
      </c>
      <c r="D926" t="s">
        <v>41</v>
      </c>
      <c r="E926" t="s">
        <v>331</v>
      </c>
      <c r="F926" t="s">
        <v>368</v>
      </c>
      <c r="G926" s="6">
        <v>90</v>
      </c>
      <c r="H926" s="7">
        <v>1.32</v>
      </c>
      <c r="I926" s="7">
        <v>119.43</v>
      </c>
    </row>
    <row r="927" spans="1:9" hidden="1" x14ac:dyDescent="0.2">
      <c r="A927" t="s">
        <v>18</v>
      </c>
      <c r="B927" s="4" t="s">
        <v>482</v>
      </c>
      <c r="C927" s="5">
        <v>44785</v>
      </c>
      <c r="D927" t="s">
        <v>41</v>
      </c>
      <c r="E927" t="s">
        <v>284</v>
      </c>
      <c r="F927" t="s">
        <v>368</v>
      </c>
      <c r="G927" s="6">
        <v>43</v>
      </c>
      <c r="H927" s="7">
        <v>1.1000000000000001</v>
      </c>
      <c r="I927" s="7">
        <v>47.3</v>
      </c>
    </row>
    <row r="928" spans="1:9" hidden="1" x14ac:dyDescent="0.2">
      <c r="A928" t="s">
        <v>18</v>
      </c>
      <c r="B928" s="4" t="s">
        <v>482</v>
      </c>
      <c r="C928" s="5">
        <v>44785</v>
      </c>
      <c r="D928" t="s">
        <v>41</v>
      </c>
      <c r="E928" t="s">
        <v>296</v>
      </c>
      <c r="F928" t="s">
        <v>368</v>
      </c>
      <c r="G928" s="6">
        <v>61</v>
      </c>
      <c r="H928" s="7">
        <v>0.82</v>
      </c>
      <c r="I928" s="7">
        <v>50.02</v>
      </c>
    </row>
    <row r="929" spans="1:9" x14ac:dyDescent="0.2">
      <c r="A929" t="s">
        <v>8</v>
      </c>
      <c r="B929" s="4" t="s">
        <v>482</v>
      </c>
      <c r="C929" s="5">
        <v>44785</v>
      </c>
      <c r="D929" t="s">
        <v>14</v>
      </c>
      <c r="E929" t="s">
        <v>483</v>
      </c>
      <c r="F929" t="s">
        <v>368</v>
      </c>
      <c r="G929" s="6">
        <v>0</v>
      </c>
      <c r="H929" s="7" t="s">
        <v>17</v>
      </c>
      <c r="I929" s="7" t="s">
        <v>17</v>
      </c>
    </row>
    <row r="930" spans="1:9" hidden="1" x14ac:dyDescent="0.2">
      <c r="A930" t="s">
        <v>18</v>
      </c>
      <c r="B930" s="4" t="s">
        <v>482</v>
      </c>
      <c r="C930" s="5">
        <v>44785</v>
      </c>
      <c r="D930" t="s">
        <v>41</v>
      </c>
      <c r="E930" t="s">
        <v>297</v>
      </c>
      <c r="F930" t="s">
        <v>368</v>
      </c>
      <c r="G930" s="6">
        <v>72</v>
      </c>
      <c r="H930" s="7">
        <v>0.75</v>
      </c>
      <c r="I930" s="7">
        <v>54</v>
      </c>
    </row>
    <row r="931" spans="1:9" hidden="1" x14ac:dyDescent="0.2">
      <c r="A931" t="s">
        <v>18</v>
      </c>
      <c r="B931" s="4" t="s">
        <v>482</v>
      </c>
      <c r="C931" s="5">
        <v>44785</v>
      </c>
      <c r="D931" t="s">
        <v>41</v>
      </c>
      <c r="E931" t="s">
        <v>329</v>
      </c>
      <c r="F931" t="s">
        <v>368</v>
      </c>
      <c r="G931" s="6">
        <v>135</v>
      </c>
      <c r="H931" s="7">
        <v>0.45</v>
      </c>
      <c r="I931" s="7">
        <v>60.75</v>
      </c>
    </row>
    <row r="932" spans="1:9" hidden="1" x14ac:dyDescent="0.2">
      <c r="A932" t="s">
        <v>18</v>
      </c>
      <c r="B932" s="4" t="s">
        <v>482</v>
      </c>
      <c r="C932" s="5">
        <v>44785</v>
      </c>
      <c r="D932" t="s">
        <v>41</v>
      </c>
      <c r="E932" t="s">
        <v>484</v>
      </c>
      <c r="F932" t="s">
        <v>368</v>
      </c>
      <c r="G932" s="6">
        <v>76</v>
      </c>
      <c r="H932" s="7">
        <v>0.72</v>
      </c>
      <c r="I932" s="7">
        <v>54.72</v>
      </c>
    </row>
    <row r="933" spans="1:9" hidden="1" x14ac:dyDescent="0.2">
      <c r="A933" t="s">
        <v>18</v>
      </c>
      <c r="B933" s="4" t="s">
        <v>485</v>
      </c>
      <c r="C933" s="5">
        <v>44784</v>
      </c>
      <c r="D933" t="s">
        <v>81</v>
      </c>
      <c r="E933" t="s">
        <v>284</v>
      </c>
      <c r="F933" t="s">
        <v>368</v>
      </c>
      <c r="G933" s="6">
        <v>12</v>
      </c>
      <c r="H933" s="7">
        <v>168.24</v>
      </c>
      <c r="I933" s="7">
        <v>2018.88</v>
      </c>
    </row>
    <row r="934" spans="1:9" hidden="1" x14ac:dyDescent="0.2">
      <c r="A934" t="s">
        <v>18</v>
      </c>
      <c r="B934" s="4" t="s">
        <v>485</v>
      </c>
      <c r="C934" s="5">
        <v>44784</v>
      </c>
      <c r="D934" t="s">
        <v>81</v>
      </c>
      <c r="E934" t="s">
        <v>296</v>
      </c>
      <c r="F934" t="s">
        <v>368</v>
      </c>
      <c r="G934" s="6">
        <v>17</v>
      </c>
      <c r="H934" s="7">
        <v>119</v>
      </c>
      <c r="I934" s="7">
        <v>2023</v>
      </c>
    </row>
    <row r="935" spans="1:9" hidden="1" x14ac:dyDescent="0.2">
      <c r="A935" t="s">
        <v>18</v>
      </c>
      <c r="B935" s="4" t="s">
        <v>485</v>
      </c>
      <c r="C935" s="5">
        <v>44784</v>
      </c>
      <c r="D935" t="s">
        <v>81</v>
      </c>
      <c r="E935" t="s">
        <v>331</v>
      </c>
      <c r="F935" t="s">
        <v>368</v>
      </c>
      <c r="G935" s="6">
        <v>10</v>
      </c>
      <c r="H935" s="7">
        <v>102.09</v>
      </c>
      <c r="I935" s="7">
        <v>1020.9</v>
      </c>
    </row>
    <row r="936" spans="1:9" hidden="1" x14ac:dyDescent="0.2">
      <c r="A936" t="s">
        <v>18</v>
      </c>
      <c r="B936" s="4" t="s">
        <v>485</v>
      </c>
      <c r="C936" s="5">
        <v>44784</v>
      </c>
      <c r="D936" t="s">
        <v>20</v>
      </c>
      <c r="E936" t="s">
        <v>483</v>
      </c>
      <c r="F936" t="s">
        <v>368</v>
      </c>
      <c r="G936" s="6">
        <v>7</v>
      </c>
      <c r="H936" s="7" t="s">
        <v>17</v>
      </c>
      <c r="I936" s="7" t="s">
        <v>17</v>
      </c>
    </row>
    <row r="937" spans="1:9" hidden="1" x14ac:dyDescent="0.2">
      <c r="A937" t="s">
        <v>8</v>
      </c>
      <c r="B937" s="4" t="s">
        <v>485</v>
      </c>
      <c r="C937" s="5">
        <v>44784</v>
      </c>
      <c r="D937" t="s">
        <v>21</v>
      </c>
      <c r="E937" t="s">
        <v>483</v>
      </c>
      <c r="F937" t="s">
        <v>368</v>
      </c>
      <c r="G937" s="6">
        <v>7</v>
      </c>
      <c r="H937" s="7" t="s">
        <v>17</v>
      </c>
      <c r="I937" s="7" t="s">
        <v>17</v>
      </c>
    </row>
    <row r="938" spans="1:9" hidden="1" x14ac:dyDescent="0.2">
      <c r="A938" t="s">
        <v>18</v>
      </c>
      <c r="B938" s="4" t="s">
        <v>485</v>
      </c>
      <c r="C938" s="5">
        <v>44784</v>
      </c>
      <c r="D938" t="s">
        <v>81</v>
      </c>
      <c r="E938" t="s">
        <v>297</v>
      </c>
      <c r="F938" t="s">
        <v>368</v>
      </c>
      <c r="G938" s="6">
        <v>19</v>
      </c>
      <c r="H938" s="7">
        <v>102.75</v>
      </c>
      <c r="I938" s="7">
        <v>1952.25</v>
      </c>
    </row>
    <row r="939" spans="1:9" hidden="1" x14ac:dyDescent="0.2">
      <c r="A939" t="s">
        <v>18</v>
      </c>
      <c r="B939" s="4" t="s">
        <v>485</v>
      </c>
      <c r="C939" s="5">
        <v>44784</v>
      </c>
      <c r="D939" t="s">
        <v>81</v>
      </c>
      <c r="E939" t="s">
        <v>328</v>
      </c>
      <c r="F939" t="s">
        <v>368</v>
      </c>
      <c r="G939" s="6">
        <v>22</v>
      </c>
      <c r="H939" s="7">
        <v>97.82</v>
      </c>
      <c r="I939" s="7">
        <v>2152.04</v>
      </c>
    </row>
    <row r="940" spans="1:9" hidden="1" x14ac:dyDescent="0.2">
      <c r="A940" t="s">
        <v>18</v>
      </c>
      <c r="B940" s="4" t="s">
        <v>485</v>
      </c>
      <c r="C940" s="5">
        <v>44784</v>
      </c>
      <c r="D940" t="s">
        <v>81</v>
      </c>
      <c r="E940" t="s">
        <v>329</v>
      </c>
      <c r="F940" t="s">
        <v>368</v>
      </c>
      <c r="G940" s="6">
        <v>36</v>
      </c>
      <c r="H940" s="7">
        <v>54.55</v>
      </c>
      <c r="I940" s="7">
        <v>1963.8</v>
      </c>
    </row>
    <row r="941" spans="1:9" hidden="1" x14ac:dyDescent="0.2">
      <c r="A941" t="s">
        <v>8</v>
      </c>
      <c r="B941" s="4" t="s">
        <v>485</v>
      </c>
      <c r="C941" s="5">
        <v>44784</v>
      </c>
      <c r="D941" t="s">
        <v>81</v>
      </c>
      <c r="E941" t="s">
        <v>484</v>
      </c>
      <c r="F941" t="s">
        <v>368</v>
      </c>
      <c r="G941" s="6">
        <v>76</v>
      </c>
      <c r="H941" s="7">
        <v>97.76</v>
      </c>
      <c r="I941" s="7">
        <v>7429.76</v>
      </c>
    </row>
    <row r="942" spans="1:9" hidden="1" x14ac:dyDescent="0.2">
      <c r="A942" t="s">
        <v>8</v>
      </c>
      <c r="B942" s="4" t="s">
        <v>485</v>
      </c>
      <c r="C942" s="5">
        <v>44784</v>
      </c>
      <c r="D942" t="s">
        <v>81</v>
      </c>
      <c r="E942" t="s">
        <v>486</v>
      </c>
      <c r="F942" t="s">
        <v>368</v>
      </c>
      <c r="G942" s="6">
        <v>36</v>
      </c>
      <c r="H942" s="7">
        <v>98.54</v>
      </c>
      <c r="I942" s="7">
        <v>3547.44</v>
      </c>
    </row>
    <row r="943" spans="1:9" hidden="1" x14ac:dyDescent="0.2">
      <c r="A943" t="s">
        <v>18</v>
      </c>
      <c r="B943" s="4" t="s">
        <v>487</v>
      </c>
      <c r="C943" s="5">
        <v>44774</v>
      </c>
      <c r="D943" t="s">
        <v>24</v>
      </c>
      <c r="E943" t="s">
        <v>289</v>
      </c>
      <c r="F943" t="s">
        <v>368</v>
      </c>
      <c r="G943" s="6">
        <v>550</v>
      </c>
      <c r="H943" s="7">
        <v>1.7000000000000001E-2</v>
      </c>
      <c r="I943" s="7">
        <v>8.06</v>
      </c>
    </row>
    <row r="944" spans="1:9" x14ac:dyDescent="0.2">
      <c r="A944" t="s">
        <v>18</v>
      </c>
      <c r="B944" s="4" t="s">
        <v>487</v>
      </c>
      <c r="C944" s="5">
        <v>44774</v>
      </c>
      <c r="D944" t="s">
        <v>28</v>
      </c>
      <c r="E944" t="s">
        <v>483</v>
      </c>
      <c r="F944" t="s">
        <v>368</v>
      </c>
      <c r="G944" s="6">
        <v>7</v>
      </c>
      <c r="H944" s="7" t="s">
        <v>17</v>
      </c>
      <c r="I944" s="7" t="s">
        <v>17</v>
      </c>
    </row>
    <row r="945" spans="1:9" hidden="1" x14ac:dyDescent="0.2">
      <c r="A945" t="s">
        <v>18</v>
      </c>
      <c r="B945" s="4" t="s">
        <v>488</v>
      </c>
      <c r="C945" s="5">
        <v>44770</v>
      </c>
      <c r="D945" t="s">
        <v>81</v>
      </c>
      <c r="E945" t="s">
        <v>284</v>
      </c>
      <c r="F945" t="s">
        <v>368</v>
      </c>
      <c r="G945" s="6">
        <v>9</v>
      </c>
      <c r="H945" s="7">
        <v>166.01</v>
      </c>
      <c r="I945" s="7">
        <v>1494.09</v>
      </c>
    </row>
    <row r="946" spans="1:9" hidden="1" x14ac:dyDescent="0.2">
      <c r="A946" t="s">
        <v>18</v>
      </c>
      <c r="B946" s="4" t="s">
        <v>488</v>
      </c>
      <c r="C946" s="5">
        <v>44770</v>
      </c>
      <c r="D946" t="s">
        <v>81</v>
      </c>
      <c r="E946" t="s">
        <v>329</v>
      </c>
      <c r="F946" t="s">
        <v>368</v>
      </c>
      <c r="G946" s="6">
        <v>34</v>
      </c>
      <c r="H946" s="7">
        <v>51.85</v>
      </c>
      <c r="I946" s="7">
        <v>1762.9</v>
      </c>
    </row>
    <row r="947" spans="1:9" hidden="1" x14ac:dyDescent="0.2">
      <c r="A947" t="s">
        <v>18</v>
      </c>
      <c r="B947" s="4" t="s">
        <v>488</v>
      </c>
      <c r="C947" s="5">
        <v>44770</v>
      </c>
      <c r="D947" t="s">
        <v>81</v>
      </c>
      <c r="E947" t="s">
        <v>484</v>
      </c>
      <c r="F947" t="s">
        <v>368</v>
      </c>
      <c r="G947" s="6">
        <v>4</v>
      </c>
      <c r="H947" s="7">
        <v>95.19</v>
      </c>
      <c r="I947" s="7">
        <v>380.76</v>
      </c>
    </row>
    <row r="948" spans="1:9" hidden="1" x14ac:dyDescent="0.2">
      <c r="A948" t="s">
        <v>18</v>
      </c>
      <c r="B948" s="4" t="s">
        <v>489</v>
      </c>
      <c r="C948" s="5">
        <v>44767</v>
      </c>
      <c r="D948" t="s">
        <v>41</v>
      </c>
      <c r="E948" t="s">
        <v>486</v>
      </c>
      <c r="F948" t="s">
        <v>368</v>
      </c>
      <c r="G948" s="6">
        <v>36</v>
      </c>
      <c r="H948" s="7">
        <v>0.69</v>
      </c>
      <c r="I948" s="7">
        <v>24.84</v>
      </c>
    </row>
    <row r="949" spans="1:9" hidden="1" x14ac:dyDescent="0.2">
      <c r="A949" t="s">
        <v>18</v>
      </c>
      <c r="B949" s="4" t="s">
        <v>490</v>
      </c>
      <c r="C949" s="5">
        <v>44762</v>
      </c>
      <c r="D949" t="s">
        <v>35</v>
      </c>
      <c r="E949" t="s">
        <v>154</v>
      </c>
      <c r="F949" t="s">
        <v>368</v>
      </c>
      <c r="G949" s="6">
        <v>800</v>
      </c>
      <c r="H949" s="7">
        <v>1.8580000000000001</v>
      </c>
      <c r="I949" s="7">
        <v>1486.19</v>
      </c>
    </row>
    <row r="950" spans="1:9" hidden="1" x14ac:dyDescent="0.2">
      <c r="A950" t="s">
        <v>18</v>
      </c>
      <c r="B950" s="4" t="s">
        <v>491</v>
      </c>
      <c r="C950" s="5">
        <v>44761</v>
      </c>
      <c r="D950" t="s">
        <v>41</v>
      </c>
      <c r="E950" t="s">
        <v>328</v>
      </c>
      <c r="F950" t="s">
        <v>368</v>
      </c>
      <c r="G950" s="6">
        <v>73</v>
      </c>
      <c r="H950" s="7">
        <v>1.1000000000000001</v>
      </c>
      <c r="I950" s="7">
        <v>80.3</v>
      </c>
    </row>
    <row r="951" spans="1:9" hidden="1" x14ac:dyDescent="0.2">
      <c r="A951" t="s">
        <v>18</v>
      </c>
      <c r="B951" s="4" t="s">
        <v>492</v>
      </c>
      <c r="C951" s="5">
        <v>44760</v>
      </c>
      <c r="D951" t="s">
        <v>41</v>
      </c>
      <c r="E951" t="s">
        <v>331</v>
      </c>
      <c r="F951" t="s">
        <v>368</v>
      </c>
      <c r="G951" s="6">
        <v>80</v>
      </c>
      <c r="H951" s="7">
        <v>1.2869999999999999</v>
      </c>
      <c r="I951" s="7">
        <v>102.96</v>
      </c>
    </row>
    <row r="952" spans="1:9" hidden="1" x14ac:dyDescent="0.2">
      <c r="A952" t="s">
        <v>18</v>
      </c>
      <c r="B952" s="4" t="s">
        <v>493</v>
      </c>
      <c r="C952" s="5">
        <v>44756</v>
      </c>
      <c r="D952" t="s">
        <v>41</v>
      </c>
      <c r="E952" t="s">
        <v>284</v>
      </c>
      <c r="F952" t="s">
        <v>368</v>
      </c>
      <c r="G952" s="6">
        <v>34</v>
      </c>
      <c r="H952" s="7">
        <v>3.3</v>
      </c>
      <c r="I952" s="7">
        <v>112.2</v>
      </c>
    </row>
    <row r="953" spans="1:9" hidden="1" x14ac:dyDescent="0.2">
      <c r="A953" t="s">
        <v>18</v>
      </c>
      <c r="B953" s="4" t="s">
        <v>493</v>
      </c>
      <c r="C953" s="5">
        <v>44756</v>
      </c>
      <c r="D953" t="s">
        <v>41</v>
      </c>
      <c r="E953" t="s">
        <v>296</v>
      </c>
      <c r="F953" t="s">
        <v>368</v>
      </c>
      <c r="G953" s="6">
        <v>61</v>
      </c>
      <c r="H953" s="7">
        <v>1.2</v>
      </c>
      <c r="I953" s="7">
        <v>73.2</v>
      </c>
    </row>
    <row r="954" spans="1:9" hidden="1" x14ac:dyDescent="0.2">
      <c r="A954" t="s">
        <v>18</v>
      </c>
      <c r="B954" s="4" t="s">
        <v>493</v>
      </c>
      <c r="C954" s="5">
        <v>44756</v>
      </c>
      <c r="D954" t="s">
        <v>41</v>
      </c>
      <c r="E954" t="s">
        <v>297</v>
      </c>
      <c r="F954" t="s">
        <v>368</v>
      </c>
      <c r="G954" s="6">
        <v>72</v>
      </c>
      <c r="H954" s="7">
        <v>0.72</v>
      </c>
      <c r="I954" s="7">
        <v>51.84</v>
      </c>
    </row>
    <row r="955" spans="1:9" hidden="1" x14ac:dyDescent="0.2">
      <c r="A955" t="s">
        <v>18</v>
      </c>
      <c r="B955" s="4" t="s">
        <v>493</v>
      </c>
      <c r="C955" s="5">
        <v>44756</v>
      </c>
      <c r="D955" t="s">
        <v>41</v>
      </c>
      <c r="E955" t="s">
        <v>329</v>
      </c>
      <c r="F955" t="s">
        <v>368</v>
      </c>
      <c r="G955" s="6">
        <v>101</v>
      </c>
      <c r="H955" s="7">
        <v>0.45</v>
      </c>
      <c r="I955" s="7">
        <v>45.45</v>
      </c>
    </row>
    <row r="956" spans="1:9" hidden="1" x14ac:dyDescent="0.2">
      <c r="A956" t="s">
        <v>18</v>
      </c>
      <c r="B956" s="4" t="s">
        <v>493</v>
      </c>
      <c r="C956" s="5">
        <v>44756</v>
      </c>
      <c r="D956" t="s">
        <v>41</v>
      </c>
      <c r="E956" t="s">
        <v>484</v>
      </c>
      <c r="F956" t="s">
        <v>368</v>
      </c>
      <c r="G956" s="6">
        <v>72</v>
      </c>
      <c r="H956" s="7">
        <v>0.7</v>
      </c>
      <c r="I956" s="7">
        <v>50.4</v>
      </c>
    </row>
    <row r="957" spans="1:9" hidden="1" x14ac:dyDescent="0.2">
      <c r="A957" t="s">
        <v>18</v>
      </c>
      <c r="B957" s="4" t="s">
        <v>494</v>
      </c>
      <c r="C957" s="5">
        <v>44754</v>
      </c>
      <c r="D957" t="s">
        <v>35</v>
      </c>
      <c r="E957" t="s">
        <v>44</v>
      </c>
      <c r="F957" t="s">
        <v>368</v>
      </c>
      <c r="G957" s="6">
        <v>300</v>
      </c>
      <c r="H957" s="7">
        <v>0.67400000000000004</v>
      </c>
      <c r="I957" s="7">
        <v>202.14</v>
      </c>
    </row>
    <row r="958" spans="1:9" hidden="1" x14ac:dyDescent="0.2">
      <c r="A958" t="s">
        <v>18</v>
      </c>
      <c r="B958" s="4" t="s">
        <v>495</v>
      </c>
      <c r="C958" s="5">
        <v>44750</v>
      </c>
      <c r="D958" t="s">
        <v>24</v>
      </c>
      <c r="E958" t="s">
        <v>63</v>
      </c>
      <c r="F958" t="s">
        <v>368</v>
      </c>
      <c r="G958" s="6">
        <v>700</v>
      </c>
      <c r="H958" s="7">
        <v>6.0999999999999999E-2</v>
      </c>
      <c r="I958" s="7">
        <v>36.24</v>
      </c>
    </row>
    <row r="959" spans="1:9" hidden="1" x14ac:dyDescent="0.2">
      <c r="A959" t="s">
        <v>18</v>
      </c>
      <c r="B959" s="4" t="s">
        <v>495</v>
      </c>
      <c r="C959" s="5">
        <v>44750</v>
      </c>
      <c r="D959" t="s">
        <v>35</v>
      </c>
      <c r="E959" t="s">
        <v>63</v>
      </c>
      <c r="F959" t="s">
        <v>368</v>
      </c>
      <c r="G959" s="6">
        <v>700</v>
      </c>
      <c r="H959" s="7">
        <v>7.0000000000000007E-2</v>
      </c>
      <c r="I959" s="7">
        <v>48.91</v>
      </c>
    </row>
    <row r="960" spans="1:9" hidden="1" x14ac:dyDescent="0.2">
      <c r="A960" t="s">
        <v>18</v>
      </c>
      <c r="B960" s="4" t="s">
        <v>496</v>
      </c>
      <c r="C960" s="5">
        <v>44743</v>
      </c>
      <c r="D960" t="s">
        <v>24</v>
      </c>
      <c r="E960" t="s">
        <v>289</v>
      </c>
      <c r="F960" t="s">
        <v>368</v>
      </c>
      <c r="G960" s="6">
        <v>550</v>
      </c>
      <c r="H960" s="7">
        <v>1.7000000000000001E-2</v>
      </c>
      <c r="I960" s="7">
        <v>8.06</v>
      </c>
    </row>
    <row r="961" spans="1:9" hidden="1" x14ac:dyDescent="0.2">
      <c r="A961" t="s">
        <v>18</v>
      </c>
      <c r="B961" s="4" t="s">
        <v>496</v>
      </c>
      <c r="C961" s="5">
        <v>44743</v>
      </c>
      <c r="D961" t="s">
        <v>24</v>
      </c>
      <c r="E961" t="s">
        <v>476</v>
      </c>
      <c r="F961" t="s">
        <v>368</v>
      </c>
      <c r="G961" s="6">
        <v>315</v>
      </c>
      <c r="H961" s="7">
        <v>2.4E-2</v>
      </c>
      <c r="I961" s="7">
        <v>6.3</v>
      </c>
    </row>
    <row r="962" spans="1:9" hidden="1" x14ac:dyDescent="0.2">
      <c r="A962" t="s">
        <v>18</v>
      </c>
      <c r="B962" s="4" t="s">
        <v>497</v>
      </c>
      <c r="C962" s="5">
        <v>44742</v>
      </c>
      <c r="D962" t="s">
        <v>24</v>
      </c>
      <c r="E962" t="s">
        <v>107</v>
      </c>
      <c r="F962" t="s">
        <v>368</v>
      </c>
      <c r="G962" s="6">
        <v>200</v>
      </c>
      <c r="H962" s="7">
        <v>0.25</v>
      </c>
      <c r="I962" s="7">
        <v>42.54</v>
      </c>
    </row>
    <row r="963" spans="1:9" hidden="1" x14ac:dyDescent="0.2">
      <c r="A963" t="s">
        <v>18</v>
      </c>
      <c r="B963" s="4" t="s">
        <v>497</v>
      </c>
      <c r="C963" s="5">
        <v>44742</v>
      </c>
      <c r="D963" t="s">
        <v>24</v>
      </c>
      <c r="E963" t="s">
        <v>289</v>
      </c>
      <c r="F963" t="s">
        <v>368</v>
      </c>
      <c r="G963" s="6">
        <v>550</v>
      </c>
      <c r="H963" s="7">
        <v>0.17899999999999999</v>
      </c>
      <c r="I963" s="7">
        <v>83.55</v>
      </c>
    </row>
    <row r="964" spans="1:9" hidden="1" x14ac:dyDescent="0.2">
      <c r="A964" t="s">
        <v>18</v>
      </c>
      <c r="B964" s="4" t="s">
        <v>497</v>
      </c>
      <c r="C964" s="5">
        <v>44742</v>
      </c>
      <c r="D964" t="s">
        <v>24</v>
      </c>
      <c r="E964" t="s">
        <v>350</v>
      </c>
      <c r="F964" t="s">
        <v>368</v>
      </c>
      <c r="G964" s="6">
        <v>200</v>
      </c>
      <c r="H964" s="7">
        <v>0.05</v>
      </c>
      <c r="I964" s="7">
        <v>8.5</v>
      </c>
    </row>
    <row r="965" spans="1:9" hidden="1" x14ac:dyDescent="0.2">
      <c r="A965" t="s">
        <v>18</v>
      </c>
      <c r="B965" s="4" t="s">
        <v>498</v>
      </c>
      <c r="C965" s="5">
        <v>44741</v>
      </c>
      <c r="D965" t="s">
        <v>24</v>
      </c>
      <c r="E965" t="s">
        <v>479</v>
      </c>
      <c r="F965" t="s">
        <v>368</v>
      </c>
      <c r="G965" s="6">
        <v>100</v>
      </c>
      <c r="H965" s="7">
        <v>0.126</v>
      </c>
      <c r="I965" s="7">
        <v>10.67</v>
      </c>
    </row>
    <row r="966" spans="1:9" hidden="1" x14ac:dyDescent="0.2">
      <c r="A966" t="s">
        <v>18</v>
      </c>
      <c r="B966" s="4" t="s">
        <v>499</v>
      </c>
      <c r="C966" s="5">
        <v>44740</v>
      </c>
      <c r="D966" t="s">
        <v>35</v>
      </c>
      <c r="E966" t="s">
        <v>479</v>
      </c>
      <c r="F966" t="s">
        <v>368</v>
      </c>
      <c r="G966" s="6">
        <v>100</v>
      </c>
      <c r="H966" s="7">
        <v>0.02</v>
      </c>
      <c r="I966" s="7">
        <v>1.96</v>
      </c>
    </row>
    <row r="967" spans="1:9" hidden="1" x14ac:dyDescent="0.2">
      <c r="A967" t="s">
        <v>18</v>
      </c>
      <c r="B967" s="4" t="s">
        <v>500</v>
      </c>
      <c r="C967" s="5">
        <v>44736</v>
      </c>
      <c r="D967" t="s">
        <v>41</v>
      </c>
      <c r="E967" t="s">
        <v>486</v>
      </c>
      <c r="F967" t="s">
        <v>368</v>
      </c>
      <c r="G967" s="6">
        <v>36</v>
      </c>
      <c r="H967" s="7">
        <v>0.68</v>
      </c>
      <c r="I967" s="7">
        <v>24.48</v>
      </c>
    </row>
    <row r="968" spans="1:9" hidden="1" x14ac:dyDescent="0.2">
      <c r="A968" t="s">
        <v>18</v>
      </c>
      <c r="B968" s="4" t="s">
        <v>501</v>
      </c>
      <c r="C968" s="5">
        <v>44732</v>
      </c>
      <c r="D968" t="s">
        <v>81</v>
      </c>
      <c r="E968" t="s">
        <v>107</v>
      </c>
      <c r="F968" t="s">
        <v>368</v>
      </c>
      <c r="G968" s="6">
        <v>100</v>
      </c>
      <c r="H968" s="7">
        <v>34.200000000000003</v>
      </c>
      <c r="I968" s="7">
        <v>3420</v>
      </c>
    </row>
    <row r="969" spans="1:9" hidden="1" x14ac:dyDescent="0.2">
      <c r="A969" t="s">
        <v>18</v>
      </c>
      <c r="B969" s="4" t="s">
        <v>501</v>
      </c>
      <c r="C969" s="5">
        <v>44732</v>
      </c>
      <c r="D969" t="s">
        <v>81</v>
      </c>
      <c r="E969" t="s">
        <v>57</v>
      </c>
      <c r="F969" t="s">
        <v>368</v>
      </c>
      <c r="G969" s="6">
        <v>100</v>
      </c>
      <c r="H969" s="7">
        <v>14.75</v>
      </c>
      <c r="I969" s="7">
        <v>1475</v>
      </c>
    </row>
    <row r="970" spans="1:9" hidden="1" x14ac:dyDescent="0.2">
      <c r="A970" t="s">
        <v>18</v>
      </c>
      <c r="B970" s="4" t="s">
        <v>501</v>
      </c>
      <c r="C970" s="5">
        <v>44732</v>
      </c>
      <c r="D970" t="s">
        <v>41</v>
      </c>
      <c r="E970" t="s">
        <v>328</v>
      </c>
      <c r="F970" t="s">
        <v>368</v>
      </c>
      <c r="G970" s="6">
        <v>73</v>
      </c>
      <c r="H970" s="7">
        <v>1.1000000000000001</v>
      </c>
      <c r="I970" s="7">
        <v>80.3</v>
      </c>
    </row>
    <row r="971" spans="1:9" hidden="1" x14ac:dyDescent="0.2">
      <c r="A971" t="s">
        <v>18</v>
      </c>
      <c r="B971" s="4" t="s">
        <v>501</v>
      </c>
      <c r="C971" s="5">
        <v>44732</v>
      </c>
      <c r="D971" t="s">
        <v>35</v>
      </c>
      <c r="E971" t="s">
        <v>154</v>
      </c>
      <c r="F971" t="s">
        <v>368</v>
      </c>
      <c r="G971" s="6">
        <v>800</v>
      </c>
      <c r="H971" s="7">
        <v>1.4279999999999999</v>
      </c>
      <c r="I971" s="7">
        <v>1142.05</v>
      </c>
    </row>
    <row r="972" spans="1:9" hidden="1" x14ac:dyDescent="0.2">
      <c r="A972" t="s">
        <v>18</v>
      </c>
      <c r="B972" s="4" t="s">
        <v>501</v>
      </c>
      <c r="C972" s="5">
        <v>44732</v>
      </c>
      <c r="D972" t="s">
        <v>24</v>
      </c>
      <c r="E972" t="s">
        <v>154</v>
      </c>
      <c r="F972" t="s">
        <v>368</v>
      </c>
      <c r="G972" s="6">
        <v>800</v>
      </c>
      <c r="H972" s="7">
        <v>0.43</v>
      </c>
      <c r="I972" s="7">
        <v>292.52</v>
      </c>
    </row>
    <row r="973" spans="1:9" hidden="1" x14ac:dyDescent="0.2">
      <c r="A973" t="s">
        <v>18</v>
      </c>
      <c r="B973" s="4" t="s">
        <v>502</v>
      </c>
      <c r="C973" s="5">
        <v>44729</v>
      </c>
      <c r="D973" t="s">
        <v>41</v>
      </c>
      <c r="E973" t="s">
        <v>331</v>
      </c>
      <c r="F973" t="s">
        <v>368</v>
      </c>
      <c r="G973" s="6">
        <v>80</v>
      </c>
      <c r="H973" s="7">
        <v>1.3520000000000001</v>
      </c>
      <c r="I973" s="7">
        <v>108.19</v>
      </c>
    </row>
    <row r="974" spans="1:9" hidden="1" x14ac:dyDescent="0.2">
      <c r="A974" t="s">
        <v>18</v>
      </c>
      <c r="B974" s="4" t="s">
        <v>503</v>
      </c>
      <c r="C974" s="5">
        <v>44726</v>
      </c>
      <c r="D974" t="s">
        <v>81</v>
      </c>
      <c r="E974" t="s">
        <v>107</v>
      </c>
      <c r="F974" t="s">
        <v>368</v>
      </c>
      <c r="G974" s="6">
        <v>100</v>
      </c>
      <c r="H974" s="7">
        <v>34.700000000000003</v>
      </c>
      <c r="I974" s="7">
        <v>3470</v>
      </c>
    </row>
    <row r="975" spans="1:9" hidden="1" x14ac:dyDescent="0.2">
      <c r="A975" t="s">
        <v>8</v>
      </c>
      <c r="B975" s="4" t="s">
        <v>503</v>
      </c>
      <c r="C975" s="5">
        <v>44726</v>
      </c>
      <c r="D975" t="s">
        <v>81</v>
      </c>
      <c r="E975" t="s">
        <v>39</v>
      </c>
      <c r="F975" t="s">
        <v>368</v>
      </c>
      <c r="G975" s="6">
        <v>200</v>
      </c>
      <c r="H975" s="7">
        <v>24.79</v>
      </c>
      <c r="I975" s="7">
        <v>4958</v>
      </c>
    </row>
    <row r="976" spans="1:9" hidden="1" x14ac:dyDescent="0.2">
      <c r="A976" t="s">
        <v>18</v>
      </c>
      <c r="B976" s="4" t="s">
        <v>503</v>
      </c>
      <c r="C976" s="5">
        <v>44726</v>
      </c>
      <c r="D976" t="s">
        <v>41</v>
      </c>
      <c r="E976" t="s">
        <v>284</v>
      </c>
      <c r="F976" t="s">
        <v>368</v>
      </c>
      <c r="G976" s="6">
        <v>34</v>
      </c>
      <c r="H976" s="7">
        <v>1.1000000000000001</v>
      </c>
      <c r="I976" s="7">
        <v>37.4</v>
      </c>
    </row>
    <row r="977" spans="1:9" hidden="1" x14ac:dyDescent="0.2">
      <c r="A977" t="s">
        <v>18</v>
      </c>
      <c r="B977" s="4" t="s">
        <v>503</v>
      </c>
      <c r="C977" s="5">
        <v>44726</v>
      </c>
      <c r="D977" t="s">
        <v>41</v>
      </c>
      <c r="E977" t="s">
        <v>296</v>
      </c>
      <c r="F977" t="s">
        <v>368</v>
      </c>
      <c r="G977" s="6">
        <v>61</v>
      </c>
      <c r="H977" s="7">
        <v>0.82</v>
      </c>
      <c r="I977" s="7">
        <v>50.02</v>
      </c>
    </row>
    <row r="978" spans="1:9" hidden="1" x14ac:dyDescent="0.2">
      <c r="A978" t="s">
        <v>8</v>
      </c>
      <c r="B978" s="4" t="s">
        <v>503</v>
      </c>
      <c r="C978" s="5">
        <v>44726</v>
      </c>
      <c r="D978" t="s">
        <v>81</v>
      </c>
      <c r="E978" t="s">
        <v>476</v>
      </c>
      <c r="F978" t="s">
        <v>368</v>
      </c>
      <c r="G978" s="6">
        <v>314</v>
      </c>
      <c r="H978" s="7">
        <v>9.23</v>
      </c>
      <c r="I978" s="7">
        <v>2898.22</v>
      </c>
    </row>
    <row r="979" spans="1:9" hidden="1" x14ac:dyDescent="0.2">
      <c r="A979" t="s">
        <v>18</v>
      </c>
      <c r="B979" s="4" t="s">
        <v>503</v>
      </c>
      <c r="C979" s="5">
        <v>44726</v>
      </c>
      <c r="D979" t="s">
        <v>41</v>
      </c>
      <c r="E979" t="s">
        <v>297</v>
      </c>
      <c r="F979" t="s">
        <v>368</v>
      </c>
      <c r="G979" s="6">
        <v>72</v>
      </c>
      <c r="H979" s="7">
        <v>0.72</v>
      </c>
      <c r="I979" s="7">
        <v>51.84</v>
      </c>
    </row>
    <row r="980" spans="1:9" hidden="1" x14ac:dyDescent="0.2">
      <c r="A980" s="1" t="s">
        <v>18</v>
      </c>
      <c r="B980" s="8" t="s">
        <v>503</v>
      </c>
      <c r="C980" s="9">
        <v>44726</v>
      </c>
      <c r="D980" s="1" t="s">
        <v>31</v>
      </c>
      <c r="E980" s="1" t="s">
        <v>172</v>
      </c>
      <c r="F980" s="1" t="s">
        <v>368</v>
      </c>
      <c r="G980" s="10">
        <v>1100</v>
      </c>
      <c r="H980" s="11" t="s">
        <v>17</v>
      </c>
      <c r="I980" s="11" t="s">
        <v>17</v>
      </c>
    </row>
    <row r="981" spans="1:9" hidden="1" x14ac:dyDescent="0.2">
      <c r="A981" t="s">
        <v>18</v>
      </c>
      <c r="B981" s="4" t="s">
        <v>503</v>
      </c>
      <c r="C981" s="5">
        <v>44726</v>
      </c>
      <c r="D981" t="s">
        <v>41</v>
      </c>
      <c r="E981" t="s">
        <v>329</v>
      </c>
      <c r="F981" t="s">
        <v>368</v>
      </c>
      <c r="G981" s="6">
        <v>101</v>
      </c>
      <c r="H981" s="7">
        <v>0.45</v>
      </c>
      <c r="I981" s="7">
        <v>45.45</v>
      </c>
    </row>
    <row r="982" spans="1:9" hidden="1" x14ac:dyDescent="0.2">
      <c r="A982" t="s">
        <v>18</v>
      </c>
      <c r="B982" s="4" t="s">
        <v>503</v>
      </c>
      <c r="C982" s="5">
        <v>44726</v>
      </c>
      <c r="D982" t="s">
        <v>81</v>
      </c>
      <c r="E982" t="s">
        <v>37</v>
      </c>
      <c r="F982" t="s">
        <v>368</v>
      </c>
      <c r="G982" s="6">
        <v>100</v>
      </c>
      <c r="H982" s="7">
        <v>40.49</v>
      </c>
      <c r="I982" s="7">
        <v>4049</v>
      </c>
    </row>
    <row r="983" spans="1:9" hidden="1" x14ac:dyDescent="0.2">
      <c r="A983" t="s">
        <v>18</v>
      </c>
      <c r="B983" s="4" t="s">
        <v>503</v>
      </c>
      <c r="C983" s="5">
        <v>44726</v>
      </c>
      <c r="D983" t="s">
        <v>41</v>
      </c>
      <c r="E983" t="s">
        <v>484</v>
      </c>
      <c r="F983" t="s">
        <v>368</v>
      </c>
      <c r="G983" s="6">
        <v>72</v>
      </c>
      <c r="H983" s="7">
        <v>0.68</v>
      </c>
      <c r="I983" s="7">
        <v>48.96</v>
      </c>
    </row>
    <row r="984" spans="1:9" hidden="1" x14ac:dyDescent="0.2">
      <c r="A984" t="s">
        <v>18</v>
      </c>
      <c r="B984" s="4" t="s">
        <v>504</v>
      </c>
      <c r="C984" s="5">
        <v>44715</v>
      </c>
      <c r="D984" t="s">
        <v>81</v>
      </c>
      <c r="E984" t="s">
        <v>63</v>
      </c>
      <c r="F984" t="s">
        <v>368</v>
      </c>
      <c r="G984" s="6">
        <v>200</v>
      </c>
      <c r="H984" s="7">
        <v>12.58</v>
      </c>
      <c r="I984" s="7">
        <v>2516</v>
      </c>
    </row>
    <row r="985" spans="1:9" hidden="1" x14ac:dyDescent="0.2">
      <c r="A985" t="s">
        <v>18</v>
      </c>
      <c r="B985" s="4" t="s">
        <v>504</v>
      </c>
      <c r="C985" s="5">
        <v>44715</v>
      </c>
      <c r="D985" t="s">
        <v>81</v>
      </c>
      <c r="E985" t="s">
        <v>107</v>
      </c>
      <c r="F985" t="s">
        <v>368</v>
      </c>
      <c r="G985" s="6">
        <v>100</v>
      </c>
      <c r="H985" s="7">
        <v>36.44</v>
      </c>
      <c r="I985" s="7">
        <v>3644</v>
      </c>
    </row>
    <row r="986" spans="1:9" hidden="1" x14ac:dyDescent="0.2">
      <c r="A986" t="s">
        <v>8</v>
      </c>
      <c r="B986" s="4" t="s">
        <v>504</v>
      </c>
      <c r="C986" s="5">
        <v>44715</v>
      </c>
      <c r="D986" t="s">
        <v>81</v>
      </c>
      <c r="E986" t="s">
        <v>476</v>
      </c>
      <c r="F986" t="s">
        <v>368</v>
      </c>
      <c r="G986" s="6">
        <v>1</v>
      </c>
      <c r="H986" s="7">
        <v>9.6999999999999993</v>
      </c>
      <c r="I986" s="7">
        <v>9.6999999999999993</v>
      </c>
    </row>
    <row r="987" spans="1:9" hidden="1" x14ac:dyDescent="0.2">
      <c r="A987" t="s">
        <v>18</v>
      </c>
      <c r="B987" s="4" t="s">
        <v>504</v>
      </c>
      <c r="C987" s="5">
        <v>44715</v>
      </c>
      <c r="D987" t="s">
        <v>81</v>
      </c>
      <c r="E987" t="s">
        <v>37</v>
      </c>
      <c r="F987" t="s">
        <v>368</v>
      </c>
      <c r="G987" s="6">
        <v>100</v>
      </c>
      <c r="H987" s="7">
        <v>40.17</v>
      </c>
      <c r="I987" s="7">
        <v>4017</v>
      </c>
    </row>
    <row r="988" spans="1:9" hidden="1" x14ac:dyDescent="0.2">
      <c r="A988" t="s">
        <v>18</v>
      </c>
      <c r="B988" s="4" t="s">
        <v>505</v>
      </c>
      <c r="C988" s="5">
        <v>44713</v>
      </c>
      <c r="D988" t="s">
        <v>24</v>
      </c>
      <c r="E988" t="s">
        <v>289</v>
      </c>
      <c r="F988" t="s">
        <v>368</v>
      </c>
      <c r="G988" s="6">
        <v>550</v>
      </c>
      <c r="H988" s="7">
        <v>1.7000000000000001E-2</v>
      </c>
      <c r="I988" s="7">
        <v>8.06</v>
      </c>
    </row>
    <row r="989" spans="1:9" hidden="1" x14ac:dyDescent="0.2">
      <c r="A989" t="s">
        <v>18</v>
      </c>
      <c r="B989" s="4" t="s">
        <v>506</v>
      </c>
      <c r="C989" s="5">
        <v>44712</v>
      </c>
      <c r="D989" t="s">
        <v>35</v>
      </c>
      <c r="E989" t="s">
        <v>37</v>
      </c>
      <c r="F989" t="s">
        <v>368</v>
      </c>
      <c r="G989" s="6">
        <v>200</v>
      </c>
      <c r="H989" s="7">
        <v>0.42699999999999999</v>
      </c>
      <c r="I989" s="7">
        <v>85.34</v>
      </c>
    </row>
    <row r="990" spans="1:9" hidden="1" x14ac:dyDescent="0.2">
      <c r="A990" t="s">
        <v>18</v>
      </c>
      <c r="B990" s="4" t="s">
        <v>506</v>
      </c>
      <c r="C990" s="5">
        <v>44712</v>
      </c>
      <c r="D990" t="s">
        <v>35</v>
      </c>
      <c r="E990" t="s">
        <v>37</v>
      </c>
      <c r="F990" t="s">
        <v>368</v>
      </c>
      <c r="G990" s="6">
        <v>200</v>
      </c>
      <c r="H990" s="7">
        <v>1.8959999999999999</v>
      </c>
      <c r="I990" s="7">
        <v>379.26</v>
      </c>
    </row>
    <row r="991" spans="1:9" hidden="1" x14ac:dyDescent="0.2">
      <c r="A991" t="s">
        <v>8</v>
      </c>
      <c r="B991" s="4" t="s">
        <v>507</v>
      </c>
      <c r="C991" s="5">
        <v>44711</v>
      </c>
      <c r="D991" t="s">
        <v>81</v>
      </c>
      <c r="E991" t="s">
        <v>508</v>
      </c>
      <c r="F991" t="s">
        <v>368</v>
      </c>
      <c r="G991" s="6">
        <v>800</v>
      </c>
      <c r="H991" s="7">
        <v>3.72</v>
      </c>
      <c r="I991" s="7">
        <v>2976</v>
      </c>
    </row>
    <row r="992" spans="1:9" hidden="1" x14ac:dyDescent="0.2">
      <c r="A992" t="s">
        <v>18</v>
      </c>
      <c r="B992" s="4" t="s">
        <v>507</v>
      </c>
      <c r="C992" s="5">
        <v>44711</v>
      </c>
      <c r="D992" t="s">
        <v>81</v>
      </c>
      <c r="E992" t="s">
        <v>284</v>
      </c>
      <c r="F992" t="s">
        <v>368</v>
      </c>
      <c r="G992" s="6">
        <v>12</v>
      </c>
      <c r="H992" s="7">
        <v>162.69</v>
      </c>
      <c r="I992" s="7">
        <v>1952.28</v>
      </c>
    </row>
    <row r="993" spans="1:9" hidden="1" x14ac:dyDescent="0.2">
      <c r="A993" t="s">
        <v>18</v>
      </c>
      <c r="B993" s="4" t="s">
        <v>507</v>
      </c>
      <c r="C993" s="5">
        <v>44711</v>
      </c>
      <c r="D993" t="s">
        <v>81</v>
      </c>
      <c r="E993" t="s">
        <v>296</v>
      </c>
      <c r="F993" t="s">
        <v>368</v>
      </c>
      <c r="G993" s="6">
        <v>6</v>
      </c>
      <c r="H993" s="7">
        <v>115.88</v>
      </c>
      <c r="I993" s="7">
        <v>695.28</v>
      </c>
    </row>
    <row r="994" spans="1:9" hidden="1" x14ac:dyDescent="0.2">
      <c r="A994" t="s">
        <v>8</v>
      </c>
      <c r="B994" s="4" t="s">
        <v>507</v>
      </c>
      <c r="C994" s="5">
        <v>44711</v>
      </c>
      <c r="D994" t="s">
        <v>81</v>
      </c>
      <c r="E994" t="s">
        <v>509</v>
      </c>
      <c r="F994" t="s">
        <v>368</v>
      </c>
      <c r="G994" s="6">
        <v>34</v>
      </c>
      <c r="H994" s="7">
        <v>77.55</v>
      </c>
      <c r="I994" s="7">
        <v>2636.7</v>
      </c>
    </row>
    <row r="995" spans="1:9" hidden="1" x14ac:dyDescent="0.2">
      <c r="A995" t="s">
        <v>18</v>
      </c>
      <c r="B995" s="4" t="s">
        <v>507</v>
      </c>
      <c r="C995" s="5">
        <v>44711</v>
      </c>
      <c r="D995" t="s">
        <v>81</v>
      </c>
      <c r="E995" t="s">
        <v>331</v>
      </c>
      <c r="F995" t="s">
        <v>368</v>
      </c>
      <c r="G995" s="6">
        <v>14</v>
      </c>
      <c r="H995" s="7">
        <v>103.37</v>
      </c>
      <c r="I995" s="7">
        <v>1447.18</v>
      </c>
    </row>
    <row r="996" spans="1:9" hidden="1" x14ac:dyDescent="0.2">
      <c r="A996" t="s">
        <v>8</v>
      </c>
      <c r="B996" s="4" t="s">
        <v>507</v>
      </c>
      <c r="C996" s="5">
        <v>44711</v>
      </c>
      <c r="D996" t="s">
        <v>81</v>
      </c>
      <c r="E996" t="s">
        <v>510</v>
      </c>
      <c r="F996" t="s">
        <v>368</v>
      </c>
      <c r="G996" s="6">
        <v>10</v>
      </c>
      <c r="H996" s="7">
        <v>132.25</v>
      </c>
      <c r="I996" s="7">
        <v>1322.5</v>
      </c>
    </row>
    <row r="997" spans="1:9" hidden="1" x14ac:dyDescent="0.2">
      <c r="A997" t="s">
        <v>18</v>
      </c>
      <c r="B997" s="4" t="s">
        <v>507</v>
      </c>
      <c r="C997" s="5">
        <v>44711</v>
      </c>
      <c r="D997" t="s">
        <v>81</v>
      </c>
      <c r="E997" t="s">
        <v>297</v>
      </c>
      <c r="F997" t="s">
        <v>368</v>
      </c>
      <c r="G997" s="6">
        <v>5</v>
      </c>
      <c r="H997" s="7">
        <v>101.04</v>
      </c>
      <c r="I997" s="7">
        <v>505.2</v>
      </c>
    </row>
    <row r="998" spans="1:9" hidden="1" x14ac:dyDescent="0.2">
      <c r="A998" t="s">
        <v>18</v>
      </c>
      <c r="B998" s="4" t="s">
        <v>507</v>
      </c>
      <c r="C998" s="5">
        <v>44711</v>
      </c>
      <c r="D998" t="s">
        <v>81</v>
      </c>
      <c r="E998" t="s">
        <v>328</v>
      </c>
      <c r="F998" t="s">
        <v>368</v>
      </c>
      <c r="G998" s="6">
        <v>5</v>
      </c>
      <c r="H998" s="7">
        <v>97.69</v>
      </c>
      <c r="I998" s="7">
        <v>488.45</v>
      </c>
    </row>
    <row r="999" spans="1:9" hidden="1" x14ac:dyDescent="0.2">
      <c r="A999" t="s">
        <v>18</v>
      </c>
      <c r="B999" s="4" t="s">
        <v>507</v>
      </c>
      <c r="C999" s="5">
        <v>44711</v>
      </c>
      <c r="D999" t="s">
        <v>81</v>
      </c>
      <c r="E999" t="s">
        <v>329</v>
      </c>
      <c r="F999" t="s">
        <v>368</v>
      </c>
      <c r="G999" s="6">
        <v>34</v>
      </c>
      <c r="H999" s="7">
        <v>61.66</v>
      </c>
      <c r="I999" s="7">
        <v>2096.44</v>
      </c>
    </row>
    <row r="1000" spans="1:9" hidden="1" x14ac:dyDescent="0.2">
      <c r="A1000" t="s">
        <v>8</v>
      </c>
      <c r="B1000" s="4" t="s">
        <v>507</v>
      </c>
      <c r="C1000" s="5">
        <v>44711</v>
      </c>
      <c r="D1000" t="s">
        <v>81</v>
      </c>
      <c r="E1000" t="s">
        <v>511</v>
      </c>
      <c r="F1000" t="s">
        <v>368</v>
      </c>
      <c r="G1000" s="6">
        <v>25</v>
      </c>
      <c r="H1000" s="7">
        <v>98.48</v>
      </c>
      <c r="I1000" s="7">
        <v>2462</v>
      </c>
    </row>
    <row r="1001" spans="1:9" hidden="1" x14ac:dyDescent="0.2">
      <c r="A1001" t="s">
        <v>8</v>
      </c>
      <c r="B1001" s="4" t="s">
        <v>507</v>
      </c>
      <c r="C1001" s="5">
        <v>44711</v>
      </c>
      <c r="D1001" t="s">
        <v>81</v>
      </c>
      <c r="E1001" t="s">
        <v>512</v>
      </c>
      <c r="F1001" t="s">
        <v>368</v>
      </c>
      <c r="G1001" s="6">
        <v>28</v>
      </c>
      <c r="H1001" s="7">
        <v>100.18</v>
      </c>
      <c r="I1001" s="7">
        <v>2805.04</v>
      </c>
    </row>
    <row r="1002" spans="1:9" hidden="1" x14ac:dyDescent="0.2">
      <c r="A1002" t="s">
        <v>18</v>
      </c>
      <c r="B1002" s="4" t="s">
        <v>507</v>
      </c>
      <c r="C1002" s="5">
        <v>44711</v>
      </c>
      <c r="D1002" t="s">
        <v>81</v>
      </c>
      <c r="E1002" t="s">
        <v>484</v>
      </c>
      <c r="F1002" t="s">
        <v>368</v>
      </c>
      <c r="G1002" s="6">
        <v>14</v>
      </c>
      <c r="H1002" s="7">
        <v>94.56</v>
      </c>
      <c r="I1002" s="7">
        <v>1323.84</v>
      </c>
    </row>
    <row r="1003" spans="1:9" hidden="1" x14ac:dyDescent="0.2">
      <c r="A1003" t="s">
        <v>18</v>
      </c>
      <c r="B1003" s="4" t="s">
        <v>513</v>
      </c>
      <c r="C1003" s="5">
        <v>44708</v>
      </c>
      <c r="D1003" t="s">
        <v>24</v>
      </c>
      <c r="E1003" t="s">
        <v>393</v>
      </c>
      <c r="F1003" t="s">
        <v>368</v>
      </c>
      <c r="G1003" s="6">
        <v>400</v>
      </c>
      <c r="H1003" s="7">
        <v>0.78900000000000003</v>
      </c>
      <c r="I1003" s="7">
        <v>268.33999999999997</v>
      </c>
    </row>
    <row r="1004" spans="1:9" hidden="1" x14ac:dyDescent="0.2">
      <c r="A1004" t="s">
        <v>18</v>
      </c>
      <c r="B1004" s="4" t="s">
        <v>513</v>
      </c>
      <c r="C1004" s="5">
        <v>44708</v>
      </c>
      <c r="D1004" t="s">
        <v>35</v>
      </c>
      <c r="E1004" t="s">
        <v>393</v>
      </c>
      <c r="F1004" t="s">
        <v>368</v>
      </c>
      <c r="G1004" s="6">
        <v>400</v>
      </c>
      <c r="H1004" s="7">
        <v>1.4039999999999999</v>
      </c>
      <c r="I1004" s="7">
        <v>561.77</v>
      </c>
    </row>
    <row r="1005" spans="1:9" hidden="1" x14ac:dyDescent="0.2">
      <c r="A1005" t="s">
        <v>18</v>
      </c>
      <c r="B1005" s="4" t="s">
        <v>513</v>
      </c>
      <c r="C1005" s="5">
        <v>44708</v>
      </c>
      <c r="D1005" t="s">
        <v>35</v>
      </c>
      <c r="E1005" t="s">
        <v>36</v>
      </c>
      <c r="F1005" t="s">
        <v>368</v>
      </c>
      <c r="G1005" s="6">
        <v>100</v>
      </c>
      <c r="H1005" s="7">
        <v>0.50600000000000001</v>
      </c>
      <c r="I1005" s="7">
        <v>50.57</v>
      </c>
    </row>
    <row r="1006" spans="1:9" hidden="1" x14ac:dyDescent="0.2">
      <c r="A1006" t="s">
        <v>18</v>
      </c>
      <c r="B1006" s="4" t="s">
        <v>513</v>
      </c>
      <c r="C1006" s="5">
        <v>44708</v>
      </c>
      <c r="D1006" t="s">
        <v>24</v>
      </c>
      <c r="E1006" t="s">
        <v>36</v>
      </c>
      <c r="F1006" t="s">
        <v>368</v>
      </c>
      <c r="G1006" s="6">
        <v>100</v>
      </c>
      <c r="H1006" s="7">
        <v>0.54500000000000004</v>
      </c>
      <c r="I1006" s="7">
        <v>46.32</v>
      </c>
    </row>
    <row r="1007" spans="1:9" hidden="1" x14ac:dyDescent="0.2">
      <c r="A1007" t="s">
        <v>18</v>
      </c>
      <c r="B1007" s="4" t="s">
        <v>513</v>
      </c>
      <c r="C1007" s="5">
        <v>44708</v>
      </c>
      <c r="D1007" t="s">
        <v>35</v>
      </c>
      <c r="E1007" t="s">
        <v>36</v>
      </c>
      <c r="F1007" t="s">
        <v>368</v>
      </c>
      <c r="G1007" s="6">
        <v>100</v>
      </c>
      <c r="H1007" s="7">
        <v>3.1520000000000001</v>
      </c>
      <c r="I1007" s="7">
        <v>315.19</v>
      </c>
    </row>
    <row r="1008" spans="1:9" hidden="1" x14ac:dyDescent="0.2">
      <c r="A1008" t="s">
        <v>18</v>
      </c>
      <c r="B1008" s="4" t="s">
        <v>514</v>
      </c>
      <c r="C1008" s="5">
        <v>44706</v>
      </c>
      <c r="D1008" t="s">
        <v>41</v>
      </c>
      <c r="E1008" t="s">
        <v>486</v>
      </c>
      <c r="F1008" t="s">
        <v>368</v>
      </c>
      <c r="G1008" s="6">
        <v>36</v>
      </c>
      <c r="H1008" s="7">
        <v>0.68</v>
      </c>
      <c r="I1008" s="7">
        <v>24.48</v>
      </c>
    </row>
    <row r="1009" spans="1:9" hidden="1" x14ac:dyDescent="0.2">
      <c r="A1009" t="s">
        <v>18</v>
      </c>
      <c r="B1009" s="4" t="s">
        <v>515</v>
      </c>
      <c r="C1009" s="5">
        <v>44699</v>
      </c>
      <c r="D1009" t="s">
        <v>41</v>
      </c>
      <c r="E1009" t="s">
        <v>328</v>
      </c>
      <c r="F1009" t="s">
        <v>368</v>
      </c>
      <c r="G1009" s="6">
        <v>62</v>
      </c>
      <c r="H1009" s="7">
        <v>1</v>
      </c>
      <c r="I1009" s="7">
        <v>62</v>
      </c>
    </row>
    <row r="1010" spans="1:9" hidden="1" x14ac:dyDescent="0.2">
      <c r="A1010" t="s">
        <v>18</v>
      </c>
      <c r="B1010" s="4" t="s">
        <v>516</v>
      </c>
      <c r="C1010" s="5">
        <v>44698</v>
      </c>
      <c r="D1010" t="s">
        <v>81</v>
      </c>
      <c r="E1010" t="s">
        <v>296</v>
      </c>
      <c r="F1010" t="s">
        <v>368</v>
      </c>
      <c r="G1010" s="6">
        <v>6</v>
      </c>
      <c r="H1010" s="7">
        <v>114.96</v>
      </c>
      <c r="I1010" s="7">
        <v>689.76</v>
      </c>
    </row>
    <row r="1011" spans="1:9" hidden="1" x14ac:dyDescent="0.2">
      <c r="A1011" t="s">
        <v>18</v>
      </c>
      <c r="B1011" s="4" t="s">
        <v>516</v>
      </c>
      <c r="C1011" s="5">
        <v>44698</v>
      </c>
      <c r="D1011" t="s">
        <v>81</v>
      </c>
      <c r="E1011" t="s">
        <v>331</v>
      </c>
      <c r="F1011" t="s">
        <v>368</v>
      </c>
      <c r="G1011" s="6">
        <v>9</v>
      </c>
      <c r="H1011" s="7">
        <v>102.59</v>
      </c>
      <c r="I1011" s="7">
        <v>923.31</v>
      </c>
    </row>
    <row r="1012" spans="1:9" hidden="1" x14ac:dyDescent="0.2">
      <c r="A1012" t="s">
        <v>18</v>
      </c>
      <c r="B1012" s="4" t="s">
        <v>516</v>
      </c>
      <c r="C1012" s="5">
        <v>44698</v>
      </c>
      <c r="D1012" t="s">
        <v>41</v>
      </c>
      <c r="E1012" t="s">
        <v>331</v>
      </c>
      <c r="F1012" t="s">
        <v>368</v>
      </c>
      <c r="G1012" s="6">
        <v>57</v>
      </c>
      <c r="H1012" s="7">
        <v>1.2609999999999999</v>
      </c>
      <c r="I1012" s="7">
        <v>71.87</v>
      </c>
    </row>
    <row r="1013" spans="1:9" hidden="1" x14ac:dyDescent="0.2">
      <c r="A1013" t="s">
        <v>18</v>
      </c>
      <c r="B1013" s="4" t="s">
        <v>516</v>
      </c>
      <c r="C1013" s="5">
        <v>44698</v>
      </c>
      <c r="D1013" t="s">
        <v>81</v>
      </c>
      <c r="E1013" t="s">
        <v>297</v>
      </c>
      <c r="F1013" t="s">
        <v>368</v>
      </c>
      <c r="G1013" s="6">
        <v>6</v>
      </c>
      <c r="H1013" s="7">
        <v>101.84</v>
      </c>
      <c r="I1013" s="7">
        <v>611.04</v>
      </c>
    </row>
    <row r="1014" spans="1:9" hidden="1" x14ac:dyDescent="0.2">
      <c r="A1014" t="s">
        <v>18</v>
      </c>
      <c r="B1014" s="4" t="s">
        <v>516</v>
      </c>
      <c r="C1014" s="5">
        <v>44698</v>
      </c>
      <c r="D1014" t="s">
        <v>81</v>
      </c>
      <c r="E1014" t="s">
        <v>328</v>
      </c>
      <c r="F1014" t="s">
        <v>368</v>
      </c>
      <c r="G1014" s="6">
        <v>6</v>
      </c>
      <c r="H1014" s="7">
        <v>98.55</v>
      </c>
      <c r="I1014" s="7">
        <v>591.29999999999995</v>
      </c>
    </row>
    <row r="1015" spans="1:9" hidden="1" x14ac:dyDescent="0.2">
      <c r="A1015" t="s">
        <v>18</v>
      </c>
      <c r="B1015" s="4" t="s">
        <v>516</v>
      </c>
      <c r="C1015" s="5">
        <v>44698</v>
      </c>
      <c r="D1015" t="s">
        <v>81</v>
      </c>
      <c r="E1015" t="s">
        <v>329</v>
      </c>
      <c r="F1015" t="s">
        <v>368</v>
      </c>
      <c r="G1015" s="6">
        <v>19</v>
      </c>
      <c r="H1015" s="7">
        <v>62.67</v>
      </c>
      <c r="I1015" s="7">
        <v>1190.73</v>
      </c>
    </row>
    <row r="1016" spans="1:9" hidden="1" x14ac:dyDescent="0.2">
      <c r="A1016" t="s">
        <v>18</v>
      </c>
      <c r="B1016" s="4" t="s">
        <v>516</v>
      </c>
      <c r="C1016" s="5">
        <v>44698</v>
      </c>
      <c r="D1016" t="s">
        <v>81</v>
      </c>
      <c r="E1016" t="s">
        <v>484</v>
      </c>
      <c r="F1016" t="s">
        <v>368</v>
      </c>
      <c r="G1016" s="6">
        <v>10</v>
      </c>
      <c r="H1016" s="7">
        <v>94.11</v>
      </c>
      <c r="I1016" s="7">
        <v>941.1</v>
      </c>
    </row>
    <row r="1017" spans="1:9" hidden="1" x14ac:dyDescent="0.2">
      <c r="A1017" t="s">
        <v>18</v>
      </c>
      <c r="B1017" s="4" t="s">
        <v>517</v>
      </c>
      <c r="C1017" s="5">
        <v>44697</v>
      </c>
      <c r="D1017" t="s">
        <v>35</v>
      </c>
      <c r="E1017" t="s">
        <v>154</v>
      </c>
      <c r="F1017" t="s">
        <v>368</v>
      </c>
      <c r="G1017" s="6">
        <v>800</v>
      </c>
      <c r="H1017" s="7">
        <v>2.8610000000000002</v>
      </c>
      <c r="I1017" s="7">
        <v>2288.86</v>
      </c>
    </row>
    <row r="1018" spans="1:9" hidden="1" x14ac:dyDescent="0.2">
      <c r="A1018" t="s">
        <v>18</v>
      </c>
      <c r="B1018" s="4" t="s">
        <v>517</v>
      </c>
      <c r="C1018" s="5">
        <v>44697</v>
      </c>
      <c r="D1018" t="s">
        <v>41</v>
      </c>
      <c r="E1018" t="s">
        <v>154</v>
      </c>
      <c r="F1018" t="s">
        <v>368</v>
      </c>
      <c r="G1018" s="6">
        <v>800</v>
      </c>
      <c r="H1018" s="7">
        <v>0.109</v>
      </c>
      <c r="I1018" s="7">
        <v>67.69</v>
      </c>
    </row>
    <row r="1019" spans="1:9" hidden="1" x14ac:dyDescent="0.2">
      <c r="A1019" t="s">
        <v>18</v>
      </c>
      <c r="B1019" s="4" t="s">
        <v>518</v>
      </c>
      <c r="C1019" s="5">
        <v>44694</v>
      </c>
      <c r="D1019" t="s">
        <v>41</v>
      </c>
      <c r="E1019" t="s">
        <v>284</v>
      </c>
      <c r="F1019" t="s">
        <v>368</v>
      </c>
      <c r="G1019" s="6">
        <v>22</v>
      </c>
      <c r="H1019" s="7">
        <v>1.1000000000000001</v>
      </c>
      <c r="I1019" s="7">
        <v>24.2</v>
      </c>
    </row>
    <row r="1020" spans="1:9" hidden="1" x14ac:dyDescent="0.2">
      <c r="A1020" t="s">
        <v>18</v>
      </c>
      <c r="B1020" s="4" t="s">
        <v>518</v>
      </c>
      <c r="C1020" s="5">
        <v>44694</v>
      </c>
      <c r="D1020" t="s">
        <v>41</v>
      </c>
      <c r="E1020" t="s">
        <v>296</v>
      </c>
      <c r="F1020" t="s">
        <v>368</v>
      </c>
      <c r="G1020" s="6">
        <v>49</v>
      </c>
      <c r="H1020" s="7">
        <v>0.82</v>
      </c>
      <c r="I1020" s="7">
        <v>40.18</v>
      </c>
    </row>
    <row r="1021" spans="1:9" hidden="1" x14ac:dyDescent="0.2">
      <c r="A1021" t="s">
        <v>18</v>
      </c>
      <c r="B1021" s="4" t="s">
        <v>518</v>
      </c>
      <c r="C1021" s="5">
        <v>44694</v>
      </c>
      <c r="D1021" t="s">
        <v>41</v>
      </c>
      <c r="E1021" t="s">
        <v>510</v>
      </c>
      <c r="F1021" t="s">
        <v>368</v>
      </c>
      <c r="G1021" s="6">
        <v>10</v>
      </c>
      <c r="H1021" s="7">
        <v>0.84</v>
      </c>
      <c r="I1021" s="7">
        <v>8.4</v>
      </c>
    </row>
    <row r="1022" spans="1:9" hidden="1" x14ac:dyDescent="0.2">
      <c r="A1022" t="s">
        <v>18</v>
      </c>
      <c r="B1022" s="4" t="s">
        <v>518</v>
      </c>
      <c r="C1022" s="5">
        <v>44694</v>
      </c>
      <c r="D1022" t="s">
        <v>41</v>
      </c>
      <c r="E1022" t="s">
        <v>297</v>
      </c>
      <c r="F1022" t="s">
        <v>368</v>
      </c>
      <c r="G1022" s="6">
        <v>61</v>
      </c>
      <c r="H1022" s="7">
        <v>0.72</v>
      </c>
      <c r="I1022" s="7">
        <v>43.92</v>
      </c>
    </row>
    <row r="1023" spans="1:9" hidden="1" x14ac:dyDescent="0.2">
      <c r="A1023" t="s">
        <v>18</v>
      </c>
      <c r="B1023" s="4" t="s">
        <v>518</v>
      </c>
      <c r="C1023" s="5">
        <v>44694</v>
      </c>
      <c r="D1023" t="s">
        <v>41</v>
      </c>
      <c r="E1023" t="s">
        <v>329</v>
      </c>
      <c r="F1023" t="s">
        <v>368</v>
      </c>
      <c r="G1023" s="6">
        <v>48</v>
      </c>
      <c r="H1023" s="7">
        <v>0.45</v>
      </c>
      <c r="I1023" s="7">
        <v>21.6</v>
      </c>
    </row>
    <row r="1024" spans="1:9" hidden="1" x14ac:dyDescent="0.2">
      <c r="A1024" t="s">
        <v>18</v>
      </c>
      <c r="B1024" s="4" t="s">
        <v>518</v>
      </c>
      <c r="C1024" s="5">
        <v>44694</v>
      </c>
      <c r="D1024" t="s">
        <v>41</v>
      </c>
      <c r="E1024" t="s">
        <v>511</v>
      </c>
      <c r="F1024" t="s">
        <v>368</v>
      </c>
      <c r="G1024" s="6">
        <v>25</v>
      </c>
      <c r="H1024" s="7">
        <v>0.7</v>
      </c>
      <c r="I1024" s="7">
        <v>17.5</v>
      </c>
    </row>
    <row r="1025" spans="1:9" hidden="1" x14ac:dyDescent="0.2">
      <c r="A1025" t="s">
        <v>18</v>
      </c>
      <c r="B1025" s="4" t="s">
        <v>518</v>
      </c>
      <c r="C1025" s="5">
        <v>44694</v>
      </c>
      <c r="D1025" t="s">
        <v>41</v>
      </c>
      <c r="E1025" t="s">
        <v>512</v>
      </c>
      <c r="F1025" t="s">
        <v>368</v>
      </c>
      <c r="G1025" s="6">
        <v>28</v>
      </c>
      <c r="H1025" s="7">
        <v>0.7</v>
      </c>
      <c r="I1025" s="7">
        <v>19.600000000000001</v>
      </c>
    </row>
    <row r="1026" spans="1:9" hidden="1" x14ac:dyDescent="0.2">
      <c r="A1026" t="s">
        <v>18</v>
      </c>
      <c r="B1026" s="4" t="s">
        <v>518</v>
      </c>
      <c r="C1026" s="5">
        <v>44694</v>
      </c>
      <c r="D1026" t="s">
        <v>41</v>
      </c>
      <c r="E1026" t="s">
        <v>484</v>
      </c>
      <c r="F1026" t="s">
        <v>368</v>
      </c>
      <c r="G1026" s="6">
        <v>48</v>
      </c>
      <c r="H1026" s="7">
        <v>0.66</v>
      </c>
      <c r="I1026" s="7">
        <v>31.68</v>
      </c>
    </row>
    <row r="1027" spans="1:9" hidden="1" x14ac:dyDescent="0.2">
      <c r="A1027" t="s">
        <v>18</v>
      </c>
      <c r="B1027" s="4" t="s">
        <v>519</v>
      </c>
      <c r="C1027" s="5">
        <v>44687</v>
      </c>
      <c r="D1027" t="s">
        <v>41</v>
      </c>
      <c r="E1027" t="s">
        <v>509</v>
      </c>
      <c r="F1027" t="s">
        <v>368</v>
      </c>
      <c r="G1027" s="6">
        <v>34</v>
      </c>
      <c r="H1027" s="7">
        <v>0.6</v>
      </c>
      <c r="I1027" s="7">
        <v>20.399999999999999</v>
      </c>
    </row>
    <row r="1028" spans="1:9" hidden="1" x14ac:dyDescent="0.2">
      <c r="A1028" t="s">
        <v>18</v>
      </c>
      <c r="B1028" s="4" t="s">
        <v>519</v>
      </c>
      <c r="C1028" s="5">
        <v>44687</v>
      </c>
      <c r="D1028" t="s">
        <v>24</v>
      </c>
      <c r="E1028" t="s">
        <v>172</v>
      </c>
      <c r="F1028" t="s">
        <v>368</v>
      </c>
      <c r="G1028" s="6">
        <v>400</v>
      </c>
      <c r="H1028" s="7">
        <v>1.4999999999999999E-2</v>
      </c>
      <c r="I1028" s="7">
        <v>5.26</v>
      </c>
    </row>
    <row r="1029" spans="1:9" hidden="1" x14ac:dyDescent="0.2">
      <c r="A1029" t="s">
        <v>18</v>
      </c>
      <c r="B1029" s="4" t="s">
        <v>520</v>
      </c>
      <c r="C1029" s="5">
        <v>44683</v>
      </c>
      <c r="D1029" t="s">
        <v>24</v>
      </c>
      <c r="E1029" t="s">
        <v>289</v>
      </c>
      <c r="F1029" t="s">
        <v>368</v>
      </c>
      <c r="G1029" s="6">
        <v>500</v>
      </c>
      <c r="H1029" s="7">
        <v>1.7000000000000001E-2</v>
      </c>
      <c r="I1029" s="7">
        <v>7.33</v>
      </c>
    </row>
    <row r="1030" spans="1:9" x14ac:dyDescent="0.2">
      <c r="A1030" t="s">
        <v>8</v>
      </c>
      <c r="B1030" s="4" t="s">
        <v>520</v>
      </c>
      <c r="C1030" s="5">
        <v>44683</v>
      </c>
      <c r="D1030" t="s">
        <v>14</v>
      </c>
      <c r="E1030" t="s">
        <v>404</v>
      </c>
      <c r="F1030" t="s">
        <v>368</v>
      </c>
      <c r="G1030" s="6">
        <v>3</v>
      </c>
      <c r="H1030" s="7" t="s">
        <v>17</v>
      </c>
      <c r="I1030" s="7" t="s">
        <v>17</v>
      </c>
    </row>
    <row r="1031" spans="1:9" hidden="1" x14ac:dyDescent="0.2">
      <c r="A1031" t="s">
        <v>18</v>
      </c>
      <c r="B1031" s="4" t="s">
        <v>521</v>
      </c>
      <c r="C1031" s="5">
        <v>44676</v>
      </c>
      <c r="D1031" t="s">
        <v>41</v>
      </c>
      <c r="E1031" t="s">
        <v>486</v>
      </c>
      <c r="F1031" t="s">
        <v>368</v>
      </c>
      <c r="G1031" s="6">
        <v>36</v>
      </c>
      <c r="H1031" s="7">
        <v>0.66</v>
      </c>
      <c r="I1031" s="7">
        <v>23.76</v>
      </c>
    </row>
    <row r="1032" spans="1:9" hidden="1" x14ac:dyDescent="0.2">
      <c r="A1032" s="12" t="s">
        <v>18</v>
      </c>
      <c r="B1032" s="13" t="s">
        <v>522</v>
      </c>
      <c r="C1032" s="14">
        <v>44671</v>
      </c>
      <c r="D1032" s="12" t="s">
        <v>111</v>
      </c>
      <c r="E1032" s="12" t="s">
        <v>289</v>
      </c>
      <c r="F1032" s="12" t="s">
        <v>368</v>
      </c>
      <c r="G1032" s="15">
        <v>50</v>
      </c>
      <c r="H1032" s="16" t="s">
        <v>17</v>
      </c>
      <c r="I1032" s="16" t="s">
        <v>17</v>
      </c>
    </row>
    <row r="1033" spans="1:9" hidden="1" x14ac:dyDescent="0.2">
      <c r="A1033" t="s">
        <v>18</v>
      </c>
      <c r="B1033" s="4" t="s">
        <v>522</v>
      </c>
      <c r="C1033" s="5">
        <v>44671</v>
      </c>
      <c r="D1033" t="s">
        <v>41</v>
      </c>
      <c r="E1033" t="s">
        <v>328</v>
      </c>
      <c r="F1033" t="s">
        <v>368</v>
      </c>
      <c r="G1033" s="6">
        <v>62</v>
      </c>
      <c r="H1033" s="7">
        <v>1</v>
      </c>
      <c r="I1033" s="7">
        <v>62</v>
      </c>
    </row>
    <row r="1034" spans="1:9" x14ac:dyDescent="0.2">
      <c r="A1034" t="s">
        <v>8</v>
      </c>
      <c r="B1034" s="4" t="s">
        <v>522</v>
      </c>
      <c r="C1034" s="5">
        <v>44671</v>
      </c>
      <c r="D1034" t="s">
        <v>14</v>
      </c>
      <c r="E1034" t="s">
        <v>456</v>
      </c>
      <c r="F1034" t="s">
        <v>368</v>
      </c>
      <c r="G1034" s="6">
        <v>0</v>
      </c>
      <c r="H1034" s="7" t="s">
        <v>17</v>
      </c>
      <c r="I1034" s="7" t="s">
        <v>17</v>
      </c>
    </row>
    <row r="1035" spans="1:9" hidden="1" x14ac:dyDescent="0.2">
      <c r="A1035" t="s">
        <v>18</v>
      </c>
      <c r="B1035" s="4" t="s">
        <v>523</v>
      </c>
      <c r="C1035" s="5">
        <v>44670</v>
      </c>
      <c r="D1035" t="s">
        <v>41</v>
      </c>
      <c r="E1035" t="s">
        <v>331</v>
      </c>
      <c r="F1035" t="s">
        <v>368</v>
      </c>
      <c r="G1035" s="6">
        <v>57</v>
      </c>
      <c r="H1035" s="7">
        <v>1.1819999999999999</v>
      </c>
      <c r="I1035" s="7">
        <v>67.36</v>
      </c>
    </row>
    <row r="1036" spans="1:9" hidden="1" x14ac:dyDescent="0.2">
      <c r="A1036" t="s">
        <v>8</v>
      </c>
      <c r="B1036" s="4" t="s">
        <v>523</v>
      </c>
      <c r="C1036" s="5">
        <v>44670</v>
      </c>
      <c r="D1036" t="s">
        <v>21</v>
      </c>
      <c r="E1036" t="s">
        <v>456</v>
      </c>
      <c r="F1036" t="s">
        <v>368</v>
      </c>
      <c r="G1036" s="6">
        <v>17</v>
      </c>
      <c r="H1036" s="7" t="s">
        <v>17</v>
      </c>
      <c r="I1036" s="7" t="s">
        <v>17</v>
      </c>
    </row>
    <row r="1037" spans="1:9" hidden="1" x14ac:dyDescent="0.2">
      <c r="A1037" t="s">
        <v>18</v>
      </c>
      <c r="B1037" s="4" t="s">
        <v>523</v>
      </c>
      <c r="C1037" s="5">
        <v>44670</v>
      </c>
      <c r="D1037" t="s">
        <v>20</v>
      </c>
      <c r="E1037" t="s">
        <v>456</v>
      </c>
      <c r="F1037" t="s">
        <v>368</v>
      </c>
      <c r="G1037" s="6">
        <v>17</v>
      </c>
      <c r="H1037" s="7" t="s">
        <v>17</v>
      </c>
      <c r="I1037" s="7" t="s">
        <v>17</v>
      </c>
    </row>
    <row r="1038" spans="1:9" hidden="1" x14ac:dyDescent="0.2">
      <c r="A1038" t="s">
        <v>18</v>
      </c>
      <c r="B1038" s="4" t="s">
        <v>524</v>
      </c>
      <c r="C1038" s="5">
        <v>44665</v>
      </c>
      <c r="D1038" t="s">
        <v>41</v>
      </c>
      <c r="E1038" t="s">
        <v>284</v>
      </c>
      <c r="F1038" t="s">
        <v>368</v>
      </c>
      <c r="G1038" s="6">
        <v>22</v>
      </c>
      <c r="H1038" s="7">
        <v>1.1000000000000001</v>
      </c>
      <c r="I1038" s="7">
        <v>24.2</v>
      </c>
    </row>
    <row r="1039" spans="1:9" x14ac:dyDescent="0.2">
      <c r="A1039" t="s">
        <v>18</v>
      </c>
      <c r="B1039" s="4" t="s">
        <v>524</v>
      </c>
      <c r="C1039" s="5">
        <v>44665</v>
      </c>
      <c r="D1039" t="s">
        <v>28</v>
      </c>
      <c r="E1039" t="s">
        <v>404</v>
      </c>
      <c r="F1039" t="s">
        <v>368</v>
      </c>
      <c r="G1039" s="6">
        <v>3</v>
      </c>
      <c r="H1039" s="7" t="s">
        <v>17</v>
      </c>
      <c r="I1039" s="7" t="s">
        <v>17</v>
      </c>
    </row>
    <row r="1040" spans="1:9" hidden="1" x14ac:dyDescent="0.2">
      <c r="A1040" t="s">
        <v>18</v>
      </c>
      <c r="B1040" s="4" t="s">
        <v>524</v>
      </c>
      <c r="C1040" s="5">
        <v>44665</v>
      </c>
      <c r="D1040" t="s">
        <v>41</v>
      </c>
      <c r="E1040" t="s">
        <v>296</v>
      </c>
      <c r="F1040" t="s">
        <v>368</v>
      </c>
      <c r="G1040" s="6">
        <v>49</v>
      </c>
      <c r="H1040" s="7">
        <v>0.82</v>
      </c>
      <c r="I1040" s="7">
        <v>40.18</v>
      </c>
    </row>
    <row r="1041" spans="1:9" hidden="1" x14ac:dyDescent="0.2">
      <c r="A1041" t="s">
        <v>18</v>
      </c>
      <c r="B1041" s="4" t="s">
        <v>524</v>
      </c>
      <c r="C1041" s="5">
        <v>44665</v>
      </c>
      <c r="D1041" t="s">
        <v>41</v>
      </c>
      <c r="E1041" t="s">
        <v>510</v>
      </c>
      <c r="F1041" t="s">
        <v>368</v>
      </c>
      <c r="G1041" s="6">
        <v>10</v>
      </c>
      <c r="H1041" s="7">
        <v>0.81</v>
      </c>
      <c r="I1041" s="7">
        <v>8.1</v>
      </c>
    </row>
    <row r="1042" spans="1:9" hidden="1" x14ac:dyDescent="0.2">
      <c r="A1042" t="s">
        <v>18</v>
      </c>
      <c r="B1042" s="4" t="s">
        <v>524</v>
      </c>
      <c r="C1042" s="5">
        <v>44665</v>
      </c>
      <c r="D1042" t="s">
        <v>41</v>
      </c>
      <c r="E1042" t="s">
        <v>297</v>
      </c>
      <c r="F1042" t="s">
        <v>368</v>
      </c>
      <c r="G1042" s="6">
        <v>61</v>
      </c>
      <c r="H1042" s="7">
        <v>0.72</v>
      </c>
      <c r="I1042" s="7">
        <v>43.92</v>
      </c>
    </row>
    <row r="1043" spans="1:9" hidden="1" x14ac:dyDescent="0.2">
      <c r="A1043" t="s">
        <v>18</v>
      </c>
      <c r="B1043" s="4" t="s">
        <v>524</v>
      </c>
      <c r="C1043" s="5">
        <v>44665</v>
      </c>
      <c r="D1043" t="s">
        <v>41</v>
      </c>
      <c r="E1043" t="s">
        <v>329</v>
      </c>
      <c r="F1043" t="s">
        <v>368</v>
      </c>
      <c r="G1043" s="6">
        <v>48</v>
      </c>
      <c r="H1043" s="7">
        <v>0.5</v>
      </c>
      <c r="I1043" s="7">
        <v>24</v>
      </c>
    </row>
    <row r="1044" spans="1:9" hidden="1" x14ac:dyDescent="0.2">
      <c r="A1044" t="s">
        <v>18</v>
      </c>
      <c r="B1044" s="4" t="s">
        <v>524</v>
      </c>
      <c r="C1044" s="5">
        <v>44665</v>
      </c>
      <c r="D1044" t="s">
        <v>41</v>
      </c>
      <c r="E1044" t="s">
        <v>511</v>
      </c>
      <c r="F1044" t="s">
        <v>368</v>
      </c>
      <c r="G1044" s="6">
        <v>25</v>
      </c>
      <c r="H1044" s="7">
        <v>0.7</v>
      </c>
      <c r="I1044" s="7">
        <v>17.5</v>
      </c>
    </row>
    <row r="1045" spans="1:9" hidden="1" x14ac:dyDescent="0.2">
      <c r="A1045" t="s">
        <v>18</v>
      </c>
      <c r="B1045" s="4" t="s">
        <v>524</v>
      </c>
      <c r="C1045" s="5">
        <v>44665</v>
      </c>
      <c r="D1045" t="s">
        <v>41</v>
      </c>
      <c r="E1045" t="s">
        <v>512</v>
      </c>
      <c r="F1045" t="s">
        <v>368</v>
      </c>
      <c r="G1045" s="6">
        <v>28</v>
      </c>
      <c r="H1045" s="7">
        <v>0.68</v>
      </c>
      <c r="I1045" s="7">
        <v>19.04</v>
      </c>
    </row>
    <row r="1046" spans="1:9" hidden="1" x14ac:dyDescent="0.2">
      <c r="A1046" t="s">
        <v>18</v>
      </c>
      <c r="B1046" s="4" t="s">
        <v>524</v>
      </c>
      <c r="C1046" s="5">
        <v>44665</v>
      </c>
      <c r="D1046" t="s">
        <v>41</v>
      </c>
      <c r="E1046" t="s">
        <v>484</v>
      </c>
      <c r="F1046" t="s">
        <v>368</v>
      </c>
      <c r="G1046" s="6">
        <v>48</v>
      </c>
      <c r="H1046" s="7">
        <v>0.66</v>
      </c>
      <c r="I1046" s="7">
        <v>31.68</v>
      </c>
    </row>
    <row r="1047" spans="1:9" hidden="1" x14ac:dyDescent="0.2">
      <c r="A1047" t="s">
        <v>18</v>
      </c>
      <c r="B1047" s="4" t="s">
        <v>525</v>
      </c>
      <c r="C1047" s="5">
        <v>44664</v>
      </c>
      <c r="D1047" t="s">
        <v>35</v>
      </c>
      <c r="E1047" t="s">
        <v>508</v>
      </c>
      <c r="F1047" t="s">
        <v>368</v>
      </c>
      <c r="G1047" s="6">
        <v>800</v>
      </c>
      <c r="H1047" s="7">
        <v>2.1000000000000001E-2</v>
      </c>
      <c r="I1047" s="7">
        <v>16.559999999999999</v>
      </c>
    </row>
    <row r="1048" spans="1:9" hidden="1" x14ac:dyDescent="0.2">
      <c r="A1048" t="s">
        <v>18</v>
      </c>
      <c r="B1048" s="4" t="s">
        <v>526</v>
      </c>
      <c r="C1048" s="5">
        <v>44659</v>
      </c>
      <c r="D1048" t="s">
        <v>35</v>
      </c>
      <c r="E1048" t="s">
        <v>63</v>
      </c>
      <c r="F1048" t="s">
        <v>368</v>
      </c>
      <c r="G1048" s="6">
        <v>500</v>
      </c>
      <c r="H1048" s="7">
        <v>0.13100000000000001</v>
      </c>
      <c r="I1048" s="7">
        <v>65.59</v>
      </c>
    </row>
    <row r="1049" spans="1:9" hidden="1" x14ac:dyDescent="0.2">
      <c r="A1049" t="s">
        <v>18</v>
      </c>
      <c r="B1049" s="4" t="s">
        <v>526</v>
      </c>
      <c r="C1049" s="5">
        <v>44659</v>
      </c>
      <c r="D1049" t="s">
        <v>24</v>
      </c>
      <c r="E1049" t="s">
        <v>63</v>
      </c>
      <c r="F1049" t="s">
        <v>368</v>
      </c>
      <c r="G1049" s="6">
        <v>500</v>
      </c>
      <c r="H1049" s="7">
        <v>0.05</v>
      </c>
      <c r="I1049" s="7">
        <v>21.37</v>
      </c>
    </row>
    <row r="1050" spans="1:9" hidden="1" x14ac:dyDescent="0.2">
      <c r="A1050" t="s">
        <v>18</v>
      </c>
      <c r="B1050" s="4" t="s">
        <v>526</v>
      </c>
      <c r="C1050" s="5">
        <v>44659</v>
      </c>
      <c r="D1050" t="s">
        <v>35</v>
      </c>
      <c r="E1050" t="s">
        <v>152</v>
      </c>
      <c r="F1050" t="s">
        <v>368</v>
      </c>
      <c r="G1050" s="6">
        <v>500</v>
      </c>
      <c r="H1050" s="7">
        <v>0.39400000000000002</v>
      </c>
      <c r="I1050" s="7">
        <v>196.86</v>
      </c>
    </row>
    <row r="1051" spans="1:9" hidden="1" x14ac:dyDescent="0.2">
      <c r="A1051" t="s">
        <v>18</v>
      </c>
      <c r="B1051" s="4" t="s">
        <v>527</v>
      </c>
      <c r="C1051" s="5">
        <v>44658</v>
      </c>
      <c r="D1051" t="s">
        <v>41</v>
      </c>
      <c r="E1051" t="s">
        <v>509</v>
      </c>
      <c r="F1051" t="s">
        <v>368</v>
      </c>
      <c r="G1051" s="6">
        <v>34</v>
      </c>
      <c r="H1051" s="7">
        <v>0.6</v>
      </c>
      <c r="I1051" s="7">
        <v>20.399999999999999</v>
      </c>
    </row>
    <row r="1052" spans="1:9" hidden="1" x14ac:dyDescent="0.2">
      <c r="A1052" t="s">
        <v>18</v>
      </c>
      <c r="B1052" s="4" t="s">
        <v>528</v>
      </c>
      <c r="C1052" s="5">
        <v>44657</v>
      </c>
      <c r="D1052" t="s">
        <v>81</v>
      </c>
      <c r="E1052" t="s">
        <v>57</v>
      </c>
      <c r="F1052" t="s">
        <v>368</v>
      </c>
      <c r="G1052" s="6">
        <v>200</v>
      </c>
      <c r="H1052" s="7">
        <v>16.690000000000001</v>
      </c>
      <c r="I1052" s="7">
        <v>3338</v>
      </c>
    </row>
    <row r="1053" spans="1:9" hidden="1" x14ac:dyDescent="0.2">
      <c r="A1053" t="s">
        <v>18</v>
      </c>
      <c r="B1053" s="4" t="s">
        <v>528</v>
      </c>
      <c r="C1053" s="5">
        <v>44657</v>
      </c>
      <c r="D1053" t="s">
        <v>81</v>
      </c>
      <c r="E1053" t="s">
        <v>172</v>
      </c>
      <c r="F1053" t="s">
        <v>368</v>
      </c>
      <c r="G1053" s="6">
        <v>400</v>
      </c>
      <c r="H1053" s="7">
        <v>7.15</v>
      </c>
      <c r="I1053" s="7">
        <v>2860</v>
      </c>
    </row>
    <row r="1054" spans="1:9" hidden="1" x14ac:dyDescent="0.2">
      <c r="A1054" t="s">
        <v>18</v>
      </c>
      <c r="B1054" s="4" t="s">
        <v>529</v>
      </c>
      <c r="C1054" s="5">
        <v>44655</v>
      </c>
      <c r="D1054" t="s">
        <v>35</v>
      </c>
      <c r="E1054" t="s">
        <v>57</v>
      </c>
      <c r="F1054" t="s">
        <v>368</v>
      </c>
      <c r="G1054" s="6">
        <v>300</v>
      </c>
      <c r="H1054" s="7">
        <v>0.71</v>
      </c>
      <c r="I1054" s="7">
        <v>212.94</v>
      </c>
    </row>
    <row r="1055" spans="1:9" x14ac:dyDescent="0.2">
      <c r="A1055" t="s">
        <v>18</v>
      </c>
      <c r="B1055" s="4" t="s">
        <v>529</v>
      </c>
      <c r="C1055" s="5">
        <v>44655</v>
      </c>
      <c r="D1055" t="s">
        <v>28</v>
      </c>
      <c r="E1055" t="s">
        <v>456</v>
      </c>
      <c r="F1055" t="s">
        <v>368</v>
      </c>
      <c r="G1055" s="6">
        <v>17</v>
      </c>
      <c r="H1055" s="7" t="s">
        <v>17</v>
      </c>
      <c r="I1055" s="7" t="s">
        <v>17</v>
      </c>
    </row>
    <row r="1056" spans="1:9" hidden="1" x14ac:dyDescent="0.2">
      <c r="A1056" t="s">
        <v>18</v>
      </c>
      <c r="B1056" s="4" t="s">
        <v>530</v>
      </c>
      <c r="C1056" s="5">
        <v>44652</v>
      </c>
      <c r="D1056" t="s">
        <v>24</v>
      </c>
      <c r="E1056" t="s">
        <v>289</v>
      </c>
      <c r="F1056" t="s">
        <v>368</v>
      </c>
      <c r="G1056" s="6">
        <v>500</v>
      </c>
      <c r="H1056" s="7">
        <v>1.7000000000000001E-2</v>
      </c>
      <c r="I1056" s="7">
        <v>7.33</v>
      </c>
    </row>
    <row r="1057" spans="1:9" hidden="1" x14ac:dyDescent="0.2">
      <c r="A1057" t="s">
        <v>18</v>
      </c>
      <c r="B1057" s="4" t="s">
        <v>530</v>
      </c>
      <c r="C1057" s="5">
        <v>44652</v>
      </c>
      <c r="D1057" t="s">
        <v>24</v>
      </c>
      <c r="E1057" t="s">
        <v>476</v>
      </c>
      <c r="F1057" t="s">
        <v>368</v>
      </c>
      <c r="G1057" s="6">
        <v>300</v>
      </c>
      <c r="H1057" s="7">
        <v>2.4E-2</v>
      </c>
      <c r="I1057" s="7">
        <v>5.99</v>
      </c>
    </row>
    <row r="1058" spans="1:9" hidden="1" x14ac:dyDescent="0.2">
      <c r="A1058" t="s">
        <v>18</v>
      </c>
      <c r="B1058" s="4" t="s">
        <v>531</v>
      </c>
      <c r="C1058" s="5">
        <v>44651</v>
      </c>
      <c r="D1058" t="s">
        <v>24</v>
      </c>
      <c r="E1058" t="s">
        <v>350</v>
      </c>
      <c r="F1058" t="s">
        <v>368</v>
      </c>
      <c r="G1058" s="6">
        <v>200</v>
      </c>
      <c r="H1058" s="7">
        <v>0.05</v>
      </c>
      <c r="I1058" s="7">
        <v>8.5</v>
      </c>
    </row>
    <row r="1059" spans="1:9" hidden="1" x14ac:dyDescent="0.2">
      <c r="A1059" t="s">
        <v>18</v>
      </c>
      <c r="B1059" s="4" t="s">
        <v>532</v>
      </c>
      <c r="C1059" s="5">
        <v>44645</v>
      </c>
      <c r="D1059" t="s">
        <v>41</v>
      </c>
      <c r="E1059" t="s">
        <v>486</v>
      </c>
      <c r="F1059" t="s">
        <v>368</v>
      </c>
      <c r="G1059" s="6">
        <v>36</v>
      </c>
      <c r="H1059" s="7">
        <v>0.64</v>
      </c>
      <c r="I1059" s="7">
        <v>23.04</v>
      </c>
    </row>
    <row r="1060" spans="1:9" hidden="1" x14ac:dyDescent="0.2">
      <c r="A1060" t="s">
        <v>18</v>
      </c>
      <c r="B1060" s="4" t="s">
        <v>533</v>
      </c>
      <c r="C1060" s="5">
        <v>44638</v>
      </c>
      <c r="D1060" t="s">
        <v>41</v>
      </c>
      <c r="E1060" t="s">
        <v>114</v>
      </c>
      <c r="F1060" t="s">
        <v>368</v>
      </c>
      <c r="G1060" s="6">
        <v>62</v>
      </c>
      <c r="H1060" s="7">
        <v>1</v>
      </c>
      <c r="I1060" s="7">
        <v>62</v>
      </c>
    </row>
    <row r="1061" spans="1:9" hidden="1" x14ac:dyDescent="0.2">
      <c r="A1061" t="s">
        <v>18</v>
      </c>
      <c r="B1061" s="4" t="s">
        <v>534</v>
      </c>
      <c r="C1061" s="5">
        <v>44637</v>
      </c>
      <c r="D1061" t="s">
        <v>35</v>
      </c>
      <c r="E1061" t="s">
        <v>44</v>
      </c>
      <c r="F1061" t="s">
        <v>368</v>
      </c>
      <c r="G1061" s="6">
        <v>300</v>
      </c>
      <c r="H1061" s="7">
        <v>0.78300000000000003</v>
      </c>
      <c r="I1061" s="7">
        <v>234.82</v>
      </c>
    </row>
    <row r="1062" spans="1:9" hidden="1" x14ac:dyDescent="0.2">
      <c r="A1062" t="s">
        <v>18</v>
      </c>
      <c r="B1062" s="4" t="s">
        <v>534</v>
      </c>
      <c r="C1062" s="5">
        <v>44637</v>
      </c>
      <c r="D1062" t="s">
        <v>24</v>
      </c>
      <c r="E1062" t="s">
        <v>44</v>
      </c>
      <c r="F1062" t="s">
        <v>368</v>
      </c>
      <c r="G1062" s="6">
        <v>300</v>
      </c>
      <c r="H1062" s="7">
        <v>7.3999999999999996E-2</v>
      </c>
      <c r="I1062" s="7">
        <v>18.75</v>
      </c>
    </row>
    <row r="1063" spans="1:9" hidden="1" x14ac:dyDescent="0.2">
      <c r="A1063" t="s">
        <v>18</v>
      </c>
      <c r="B1063" s="4" t="s">
        <v>534</v>
      </c>
      <c r="C1063" s="5">
        <v>44637</v>
      </c>
      <c r="D1063" t="s">
        <v>41</v>
      </c>
      <c r="E1063" t="s">
        <v>331</v>
      </c>
      <c r="F1063" t="s">
        <v>368</v>
      </c>
      <c r="G1063" s="6">
        <v>57</v>
      </c>
      <c r="H1063" s="7">
        <v>1.22</v>
      </c>
      <c r="I1063" s="7">
        <v>69.540000000000006</v>
      </c>
    </row>
    <row r="1064" spans="1:9" hidden="1" x14ac:dyDescent="0.2">
      <c r="A1064" t="s">
        <v>18</v>
      </c>
      <c r="B1064" s="4" t="s">
        <v>535</v>
      </c>
      <c r="C1064" s="5">
        <v>44636</v>
      </c>
      <c r="D1064" t="s">
        <v>35</v>
      </c>
      <c r="E1064" t="s">
        <v>76</v>
      </c>
      <c r="F1064" t="s">
        <v>368</v>
      </c>
      <c r="G1064" s="6">
        <v>100</v>
      </c>
      <c r="H1064" s="7">
        <v>3.7189999999999999</v>
      </c>
      <c r="I1064" s="7">
        <v>371.92</v>
      </c>
    </row>
    <row r="1065" spans="1:9" hidden="1" x14ac:dyDescent="0.2">
      <c r="A1065" t="s">
        <v>18</v>
      </c>
      <c r="B1065" s="4" t="s">
        <v>535</v>
      </c>
      <c r="C1065" s="5">
        <v>44636</v>
      </c>
      <c r="D1065" t="s">
        <v>24</v>
      </c>
      <c r="E1065" t="s">
        <v>129</v>
      </c>
      <c r="F1065" t="s">
        <v>368</v>
      </c>
      <c r="G1065" s="6">
        <v>400</v>
      </c>
      <c r="H1065" s="7">
        <v>2.1000000000000001E-2</v>
      </c>
      <c r="I1065" s="7">
        <v>7.04</v>
      </c>
    </row>
    <row r="1066" spans="1:9" hidden="1" x14ac:dyDescent="0.2">
      <c r="A1066" t="s">
        <v>18</v>
      </c>
      <c r="B1066" s="4" t="s">
        <v>535</v>
      </c>
      <c r="C1066" s="5">
        <v>44636</v>
      </c>
      <c r="D1066" t="s">
        <v>35</v>
      </c>
      <c r="E1066" t="s">
        <v>129</v>
      </c>
      <c r="F1066" t="s">
        <v>368</v>
      </c>
      <c r="G1066" s="6">
        <v>400</v>
      </c>
      <c r="H1066" s="7">
        <v>0.20499999999999999</v>
      </c>
      <c r="I1066" s="7">
        <v>82.08</v>
      </c>
    </row>
    <row r="1067" spans="1:9" hidden="1" x14ac:dyDescent="0.2">
      <c r="A1067" t="s">
        <v>18</v>
      </c>
      <c r="B1067" s="4" t="s">
        <v>535</v>
      </c>
      <c r="C1067" s="5">
        <v>44636</v>
      </c>
      <c r="D1067" t="s">
        <v>24</v>
      </c>
      <c r="E1067" t="s">
        <v>129</v>
      </c>
      <c r="F1067" t="s">
        <v>368</v>
      </c>
      <c r="G1067" s="6">
        <v>400</v>
      </c>
      <c r="H1067" s="7">
        <v>3.2000000000000001E-2</v>
      </c>
      <c r="I1067" s="7">
        <v>10.88</v>
      </c>
    </row>
    <row r="1068" spans="1:9" hidden="1" x14ac:dyDescent="0.2">
      <c r="A1068" t="s">
        <v>18</v>
      </c>
      <c r="B1068" s="4" t="s">
        <v>535</v>
      </c>
      <c r="C1068" s="5">
        <v>44636</v>
      </c>
      <c r="D1068" t="s">
        <v>24</v>
      </c>
      <c r="E1068" t="s">
        <v>129</v>
      </c>
      <c r="F1068" t="s">
        <v>16</v>
      </c>
      <c r="G1068" s="6">
        <v>400</v>
      </c>
      <c r="H1068" s="7">
        <v>2.1000000000000001E-2</v>
      </c>
      <c r="I1068" s="7">
        <v>7.04</v>
      </c>
    </row>
    <row r="1069" spans="1:9" hidden="1" x14ac:dyDescent="0.2">
      <c r="A1069" t="s">
        <v>18</v>
      </c>
      <c r="B1069" s="4" t="s">
        <v>535</v>
      </c>
      <c r="C1069" s="5">
        <v>44636</v>
      </c>
      <c r="D1069" t="s">
        <v>35</v>
      </c>
      <c r="E1069" t="s">
        <v>129</v>
      </c>
      <c r="F1069" t="s">
        <v>16</v>
      </c>
      <c r="G1069" s="6">
        <v>400</v>
      </c>
      <c r="H1069" s="7">
        <v>0.20499999999999999</v>
      </c>
      <c r="I1069" s="7">
        <v>82.08</v>
      </c>
    </row>
    <row r="1070" spans="1:9" hidden="1" x14ac:dyDescent="0.2">
      <c r="A1070" t="s">
        <v>18</v>
      </c>
      <c r="B1070" s="4" t="s">
        <v>535</v>
      </c>
      <c r="C1070" s="5">
        <v>44636</v>
      </c>
      <c r="D1070" t="s">
        <v>24</v>
      </c>
      <c r="E1070" t="s">
        <v>129</v>
      </c>
      <c r="F1070" t="s">
        <v>16</v>
      </c>
      <c r="G1070" s="6">
        <v>400</v>
      </c>
      <c r="H1070" s="7">
        <v>3.2000000000000001E-2</v>
      </c>
      <c r="I1070" s="7">
        <v>10.88</v>
      </c>
    </row>
    <row r="1071" spans="1:9" hidden="1" x14ac:dyDescent="0.2">
      <c r="A1071" t="s">
        <v>18</v>
      </c>
      <c r="B1071" s="4" t="s">
        <v>536</v>
      </c>
      <c r="C1071" s="5">
        <v>44635</v>
      </c>
      <c r="D1071" t="s">
        <v>41</v>
      </c>
      <c r="E1071" t="s">
        <v>284</v>
      </c>
      <c r="F1071" t="s">
        <v>368</v>
      </c>
      <c r="G1071" s="6">
        <v>22</v>
      </c>
      <c r="H1071" s="7">
        <v>1.1000000000000001</v>
      </c>
      <c r="I1071" s="7">
        <v>24.2</v>
      </c>
    </row>
    <row r="1072" spans="1:9" hidden="1" x14ac:dyDescent="0.2">
      <c r="A1072" t="s">
        <v>18</v>
      </c>
      <c r="B1072" s="4" t="s">
        <v>536</v>
      </c>
      <c r="C1072" s="5">
        <v>44635</v>
      </c>
      <c r="D1072" t="s">
        <v>41</v>
      </c>
      <c r="E1072" t="s">
        <v>296</v>
      </c>
      <c r="F1072" t="s">
        <v>368</v>
      </c>
      <c r="G1072" s="6">
        <v>49</v>
      </c>
      <c r="H1072" s="7">
        <v>0.76</v>
      </c>
      <c r="I1072" s="7">
        <v>37.24</v>
      </c>
    </row>
    <row r="1073" spans="1:9" hidden="1" x14ac:dyDescent="0.2">
      <c r="A1073" t="s">
        <v>18</v>
      </c>
      <c r="B1073" s="4" t="s">
        <v>536</v>
      </c>
      <c r="C1073" s="5">
        <v>44635</v>
      </c>
      <c r="D1073" t="s">
        <v>41</v>
      </c>
      <c r="E1073" t="s">
        <v>510</v>
      </c>
      <c r="F1073" t="s">
        <v>368</v>
      </c>
      <c r="G1073" s="6">
        <v>10</v>
      </c>
      <c r="H1073" s="7">
        <v>0.81</v>
      </c>
      <c r="I1073" s="7">
        <v>8.1</v>
      </c>
    </row>
    <row r="1074" spans="1:9" hidden="1" x14ac:dyDescent="0.2">
      <c r="A1074" t="s">
        <v>18</v>
      </c>
      <c r="B1074" s="4" t="s">
        <v>536</v>
      </c>
      <c r="C1074" s="5">
        <v>44635</v>
      </c>
      <c r="D1074" t="s">
        <v>41</v>
      </c>
      <c r="E1074" t="s">
        <v>297</v>
      </c>
      <c r="F1074" t="s">
        <v>368</v>
      </c>
      <c r="G1074" s="6">
        <v>61</v>
      </c>
      <c r="H1074" s="7">
        <v>0.72</v>
      </c>
      <c r="I1074" s="7">
        <v>43.92</v>
      </c>
    </row>
    <row r="1075" spans="1:9" hidden="1" x14ac:dyDescent="0.2">
      <c r="A1075" t="s">
        <v>18</v>
      </c>
      <c r="B1075" s="4" t="s">
        <v>536</v>
      </c>
      <c r="C1075" s="5">
        <v>44635</v>
      </c>
      <c r="D1075" t="s">
        <v>41</v>
      </c>
      <c r="E1075" t="s">
        <v>329</v>
      </c>
      <c r="F1075" t="s">
        <v>368</v>
      </c>
      <c r="G1075" s="6">
        <v>48</v>
      </c>
      <c r="H1075" s="7">
        <v>0.42</v>
      </c>
      <c r="I1075" s="7">
        <v>20.16</v>
      </c>
    </row>
    <row r="1076" spans="1:9" hidden="1" x14ac:dyDescent="0.2">
      <c r="A1076" t="s">
        <v>18</v>
      </c>
      <c r="B1076" s="4" t="s">
        <v>536</v>
      </c>
      <c r="C1076" s="5">
        <v>44635</v>
      </c>
      <c r="D1076" t="s">
        <v>41</v>
      </c>
      <c r="E1076" t="s">
        <v>511</v>
      </c>
      <c r="F1076" t="s">
        <v>368</v>
      </c>
      <c r="G1076" s="6">
        <v>25</v>
      </c>
      <c r="H1076" s="7">
        <v>0.7</v>
      </c>
      <c r="I1076" s="7">
        <v>17.5</v>
      </c>
    </row>
    <row r="1077" spans="1:9" hidden="1" x14ac:dyDescent="0.2">
      <c r="A1077" t="s">
        <v>18</v>
      </c>
      <c r="B1077" s="4" t="s">
        <v>536</v>
      </c>
      <c r="C1077" s="5">
        <v>44635</v>
      </c>
      <c r="D1077" t="s">
        <v>41</v>
      </c>
      <c r="E1077" t="s">
        <v>512</v>
      </c>
      <c r="F1077" t="s">
        <v>368</v>
      </c>
      <c r="G1077" s="6">
        <v>28</v>
      </c>
      <c r="H1077" s="7">
        <v>0.68</v>
      </c>
      <c r="I1077" s="7">
        <v>19.04</v>
      </c>
    </row>
    <row r="1078" spans="1:9" hidden="1" x14ac:dyDescent="0.2">
      <c r="A1078" t="s">
        <v>18</v>
      </c>
      <c r="B1078" s="4" t="s">
        <v>536</v>
      </c>
      <c r="C1078" s="5">
        <v>44635</v>
      </c>
      <c r="D1078" t="s">
        <v>41</v>
      </c>
      <c r="E1078" t="s">
        <v>484</v>
      </c>
      <c r="F1078" t="s">
        <v>368</v>
      </c>
      <c r="G1078" s="6">
        <v>48</v>
      </c>
      <c r="H1078" s="7">
        <v>0.66</v>
      </c>
      <c r="I1078" s="7">
        <v>31.68</v>
      </c>
    </row>
    <row r="1079" spans="1:9" hidden="1" x14ac:dyDescent="0.2">
      <c r="A1079" t="s">
        <v>18</v>
      </c>
      <c r="B1079" s="4" t="s">
        <v>537</v>
      </c>
      <c r="C1079" s="5">
        <v>44631</v>
      </c>
      <c r="D1079" t="s">
        <v>24</v>
      </c>
      <c r="E1079" t="s">
        <v>476</v>
      </c>
      <c r="F1079" t="s">
        <v>368</v>
      </c>
      <c r="G1079" s="6">
        <v>300</v>
      </c>
      <c r="H1079" s="7">
        <v>0.155</v>
      </c>
      <c r="I1079" s="7">
        <v>39.450000000000003</v>
      </c>
    </row>
    <row r="1080" spans="1:9" hidden="1" x14ac:dyDescent="0.2">
      <c r="A1080" t="s">
        <v>18</v>
      </c>
      <c r="B1080" s="4" t="s">
        <v>537</v>
      </c>
      <c r="C1080" s="5">
        <v>44631</v>
      </c>
      <c r="D1080" t="s">
        <v>24</v>
      </c>
      <c r="E1080" t="s">
        <v>476</v>
      </c>
      <c r="F1080" t="s">
        <v>368</v>
      </c>
      <c r="G1080" s="6">
        <v>315</v>
      </c>
      <c r="H1080" s="7">
        <v>0.13300000000000001</v>
      </c>
      <c r="I1080" s="7">
        <v>35.700000000000003</v>
      </c>
    </row>
    <row r="1081" spans="1:9" hidden="1" x14ac:dyDescent="0.2">
      <c r="A1081" t="s">
        <v>18</v>
      </c>
      <c r="B1081" s="4" t="s">
        <v>537</v>
      </c>
      <c r="C1081" s="5">
        <v>44631</v>
      </c>
      <c r="D1081" t="s">
        <v>24</v>
      </c>
      <c r="E1081" t="s">
        <v>123</v>
      </c>
      <c r="F1081" t="s">
        <v>368</v>
      </c>
      <c r="G1081" s="6">
        <v>300</v>
      </c>
      <c r="H1081" s="7">
        <v>0.26500000000000001</v>
      </c>
      <c r="I1081" s="7">
        <v>67.459999999999994</v>
      </c>
    </row>
    <row r="1082" spans="1:9" hidden="1" x14ac:dyDescent="0.2">
      <c r="A1082" t="s">
        <v>18</v>
      </c>
      <c r="B1082" s="4" t="s">
        <v>538</v>
      </c>
      <c r="C1082" s="5">
        <v>44628</v>
      </c>
      <c r="D1082" t="s">
        <v>41</v>
      </c>
      <c r="E1082" t="s">
        <v>509</v>
      </c>
      <c r="F1082" t="s">
        <v>368</v>
      </c>
      <c r="G1082" s="6">
        <v>34</v>
      </c>
      <c r="H1082" s="7">
        <v>0.6</v>
      </c>
      <c r="I1082" s="7">
        <v>20.399999999999999</v>
      </c>
    </row>
    <row r="1083" spans="1:9" hidden="1" x14ac:dyDescent="0.2">
      <c r="A1083" t="s">
        <v>18</v>
      </c>
      <c r="B1083" s="4" t="s">
        <v>539</v>
      </c>
      <c r="C1083" s="5">
        <v>44622</v>
      </c>
      <c r="D1083" t="s">
        <v>24</v>
      </c>
      <c r="E1083" t="s">
        <v>289</v>
      </c>
      <c r="F1083" t="s">
        <v>368</v>
      </c>
      <c r="G1083" s="6">
        <v>500</v>
      </c>
      <c r="H1083" s="7">
        <v>1.7000000000000001E-2</v>
      </c>
      <c r="I1083" s="7">
        <v>7.33</v>
      </c>
    </row>
    <row r="1084" spans="1:9" hidden="1" x14ac:dyDescent="0.2">
      <c r="A1084" t="s">
        <v>18</v>
      </c>
      <c r="B1084" s="4" t="s">
        <v>540</v>
      </c>
      <c r="C1084" s="5">
        <v>44617</v>
      </c>
      <c r="D1084" t="s">
        <v>41</v>
      </c>
      <c r="E1084" t="s">
        <v>486</v>
      </c>
      <c r="F1084" t="s">
        <v>368</v>
      </c>
      <c r="G1084" s="6">
        <v>36</v>
      </c>
      <c r="H1084" s="7">
        <v>0.6</v>
      </c>
      <c r="I1084" s="7">
        <v>21.6</v>
      </c>
    </row>
    <row r="1085" spans="1:9" hidden="1" x14ac:dyDescent="0.2">
      <c r="A1085" t="s">
        <v>18</v>
      </c>
      <c r="B1085" s="4" t="s">
        <v>541</v>
      </c>
      <c r="C1085" s="5">
        <v>44615</v>
      </c>
      <c r="D1085" t="s">
        <v>35</v>
      </c>
      <c r="E1085" t="s">
        <v>39</v>
      </c>
      <c r="F1085" t="s">
        <v>368</v>
      </c>
      <c r="G1085" s="6">
        <v>200</v>
      </c>
      <c r="H1085" s="7">
        <v>0.91700000000000004</v>
      </c>
      <c r="I1085" s="7">
        <v>183.43</v>
      </c>
    </row>
    <row r="1086" spans="1:9" hidden="1" x14ac:dyDescent="0.2">
      <c r="A1086" t="s">
        <v>18</v>
      </c>
      <c r="B1086" s="4" t="s">
        <v>541</v>
      </c>
      <c r="C1086" s="5">
        <v>44615</v>
      </c>
      <c r="D1086" t="s">
        <v>41</v>
      </c>
      <c r="E1086" t="s">
        <v>39</v>
      </c>
      <c r="F1086" t="s">
        <v>368</v>
      </c>
      <c r="G1086" s="6">
        <v>200</v>
      </c>
      <c r="H1086" s="7">
        <v>1.2999999999999999E-2</v>
      </c>
      <c r="I1086" s="7">
        <v>1.99</v>
      </c>
    </row>
    <row r="1087" spans="1:9" hidden="1" x14ac:dyDescent="0.2">
      <c r="A1087" t="s">
        <v>18</v>
      </c>
      <c r="B1087" s="4" t="s">
        <v>542</v>
      </c>
      <c r="C1087" s="5">
        <v>44610</v>
      </c>
      <c r="D1087" t="s">
        <v>24</v>
      </c>
      <c r="E1087" t="s">
        <v>350</v>
      </c>
      <c r="F1087" t="s">
        <v>368</v>
      </c>
      <c r="G1087" s="6">
        <v>200</v>
      </c>
      <c r="H1087" s="7">
        <v>1.7470000000000001</v>
      </c>
      <c r="I1087" s="7">
        <v>296.92</v>
      </c>
    </row>
    <row r="1088" spans="1:9" hidden="1" x14ac:dyDescent="0.2">
      <c r="A1088" t="s">
        <v>18</v>
      </c>
      <c r="B1088" s="4" t="s">
        <v>543</v>
      </c>
      <c r="C1088" s="5">
        <v>44609</v>
      </c>
      <c r="D1088" t="s">
        <v>41</v>
      </c>
      <c r="E1088" t="s">
        <v>328</v>
      </c>
      <c r="F1088" t="s">
        <v>368</v>
      </c>
      <c r="G1088" s="6">
        <v>62</v>
      </c>
      <c r="H1088" s="7">
        <v>1</v>
      </c>
      <c r="I1088" s="7">
        <v>62</v>
      </c>
    </row>
    <row r="1089" spans="1:9" hidden="1" x14ac:dyDescent="0.2">
      <c r="A1089" t="s">
        <v>18</v>
      </c>
      <c r="B1089" s="4" t="s">
        <v>544</v>
      </c>
      <c r="C1089" s="5">
        <v>44608</v>
      </c>
      <c r="D1089" t="s">
        <v>41</v>
      </c>
      <c r="E1089" t="s">
        <v>331</v>
      </c>
      <c r="F1089" t="s">
        <v>368</v>
      </c>
      <c r="G1089" s="6">
        <v>57</v>
      </c>
      <c r="H1089" s="7">
        <v>1.085</v>
      </c>
      <c r="I1089" s="7">
        <v>61.82</v>
      </c>
    </row>
    <row r="1090" spans="1:9" hidden="1" x14ac:dyDescent="0.2">
      <c r="A1090" t="s">
        <v>18</v>
      </c>
      <c r="B1090" s="4" t="s">
        <v>545</v>
      </c>
      <c r="C1090" s="5">
        <v>44606</v>
      </c>
      <c r="D1090" t="s">
        <v>41</v>
      </c>
      <c r="E1090" t="s">
        <v>284</v>
      </c>
      <c r="F1090" t="s">
        <v>368</v>
      </c>
      <c r="G1090" s="6">
        <v>22</v>
      </c>
      <c r="H1090" s="7">
        <v>1.1000000000000001</v>
      </c>
      <c r="I1090" s="7">
        <v>24.2</v>
      </c>
    </row>
    <row r="1091" spans="1:9" hidden="1" x14ac:dyDescent="0.2">
      <c r="A1091" t="s">
        <v>18</v>
      </c>
      <c r="B1091" s="4" t="s">
        <v>545</v>
      </c>
      <c r="C1091" s="5">
        <v>44606</v>
      </c>
      <c r="D1091" t="s">
        <v>41</v>
      </c>
      <c r="E1091" t="s">
        <v>296</v>
      </c>
      <c r="F1091" t="s">
        <v>368</v>
      </c>
      <c r="G1091" s="6">
        <v>49</v>
      </c>
      <c r="H1091" s="7">
        <v>0.76</v>
      </c>
      <c r="I1091" s="7">
        <v>37.24</v>
      </c>
    </row>
    <row r="1092" spans="1:9" hidden="1" x14ac:dyDescent="0.2">
      <c r="A1092" t="s">
        <v>18</v>
      </c>
      <c r="B1092" s="4" t="s">
        <v>545</v>
      </c>
      <c r="C1092" s="5">
        <v>44606</v>
      </c>
      <c r="D1092" t="s">
        <v>41</v>
      </c>
      <c r="E1092" t="s">
        <v>510</v>
      </c>
      <c r="F1092" t="s">
        <v>368</v>
      </c>
      <c r="G1092" s="6">
        <v>10</v>
      </c>
      <c r="H1092" s="7">
        <v>0.81</v>
      </c>
      <c r="I1092" s="7">
        <v>8.1</v>
      </c>
    </row>
    <row r="1093" spans="1:9" hidden="1" x14ac:dyDescent="0.2">
      <c r="A1093" t="s">
        <v>18</v>
      </c>
      <c r="B1093" s="4" t="s">
        <v>545</v>
      </c>
      <c r="C1093" s="5">
        <v>44606</v>
      </c>
      <c r="D1093" t="s">
        <v>41</v>
      </c>
      <c r="E1093" t="s">
        <v>297</v>
      </c>
      <c r="F1093" t="s">
        <v>368</v>
      </c>
      <c r="G1093" s="6">
        <v>61</v>
      </c>
      <c r="H1093" s="7">
        <v>0.72</v>
      </c>
      <c r="I1093" s="7">
        <v>43.92</v>
      </c>
    </row>
    <row r="1094" spans="1:9" hidden="1" x14ac:dyDescent="0.2">
      <c r="A1094" t="s">
        <v>18</v>
      </c>
      <c r="B1094" s="4" t="s">
        <v>545</v>
      </c>
      <c r="C1094" s="5">
        <v>44606</v>
      </c>
      <c r="D1094" t="s">
        <v>41</v>
      </c>
      <c r="E1094" t="s">
        <v>329</v>
      </c>
      <c r="F1094" t="s">
        <v>368</v>
      </c>
      <c r="G1094" s="6">
        <v>48</v>
      </c>
      <c r="H1094" s="7">
        <v>0.46</v>
      </c>
      <c r="I1094" s="7">
        <v>22.08</v>
      </c>
    </row>
    <row r="1095" spans="1:9" hidden="1" x14ac:dyDescent="0.2">
      <c r="A1095" t="s">
        <v>18</v>
      </c>
      <c r="B1095" s="4" t="s">
        <v>545</v>
      </c>
      <c r="C1095" s="5">
        <v>44606</v>
      </c>
      <c r="D1095" t="s">
        <v>41</v>
      </c>
      <c r="E1095" t="s">
        <v>511</v>
      </c>
      <c r="F1095" t="s">
        <v>368</v>
      </c>
      <c r="G1095" s="6">
        <v>25</v>
      </c>
      <c r="H1095" s="7">
        <v>0.7</v>
      </c>
      <c r="I1095" s="7">
        <v>17.5</v>
      </c>
    </row>
    <row r="1096" spans="1:9" hidden="1" x14ac:dyDescent="0.2">
      <c r="A1096" t="s">
        <v>18</v>
      </c>
      <c r="B1096" s="4" t="s">
        <v>545</v>
      </c>
      <c r="C1096" s="5">
        <v>44606</v>
      </c>
      <c r="D1096" t="s">
        <v>41</v>
      </c>
      <c r="E1096" t="s">
        <v>512</v>
      </c>
      <c r="F1096" t="s">
        <v>368</v>
      </c>
      <c r="G1096" s="6">
        <v>28</v>
      </c>
      <c r="H1096" s="7">
        <v>0.68</v>
      </c>
      <c r="I1096" s="7">
        <v>19.04</v>
      </c>
    </row>
    <row r="1097" spans="1:9" hidden="1" x14ac:dyDescent="0.2">
      <c r="A1097" t="s">
        <v>18</v>
      </c>
      <c r="B1097" s="4" t="s">
        <v>545</v>
      </c>
      <c r="C1097" s="5">
        <v>44606</v>
      </c>
      <c r="D1097" t="s">
        <v>41</v>
      </c>
      <c r="E1097" t="s">
        <v>484</v>
      </c>
      <c r="F1097" t="s">
        <v>368</v>
      </c>
      <c r="G1097" s="6">
        <v>48</v>
      </c>
      <c r="H1097" s="7">
        <v>0.64</v>
      </c>
      <c r="I1097" s="7">
        <v>30.72</v>
      </c>
    </row>
    <row r="1098" spans="1:9" hidden="1" x14ac:dyDescent="0.2">
      <c r="A1098" t="s">
        <v>18</v>
      </c>
      <c r="B1098" s="4" t="s">
        <v>546</v>
      </c>
      <c r="C1098" s="5">
        <v>44599</v>
      </c>
      <c r="D1098" t="s">
        <v>41</v>
      </c>
      <c r="E1098" t="s">
        <v>509</v>
      </c>
      <c r="F1098" t="s">
        <v>368</v>
      </c>
      <c r="G1098" s="6">
        <v>34</v>
      </c>
      <c r="H1098" s="7">
        <v>0.55000000000000004</v>
      </c>
      <c r="I1098" s="7">
        <v>18.7</v>
      </c>
    </row>
    <row r="1099" spans="1:9" hidden="1" x14ac:dyDescent="0.2">
      <c r="A1099" t="s">
        <v>18</v>
      </c>
      <c r="B1099" s="4" t="s">
        <v>547</v>
      </c>
      <c r="C1099" s="5">
        <v>44593</v>
      </c>
      <c r="D1099" t="s">
        <v>24</v>
      </c>
      <c r="E1099" t="s">
        <v>289</v>
      </c>
      <c r="F1099" t="s">
        <v>368</v>
      </c>
      <c r="G1099" s="6">
        <v>500</v>
      </c>
      <c r="H1099" s="7">
        <v>1.7000000000000001E-2</v>
      </c>
      <c r="I1099" s="7">
        <v>7.33</v>
      </c>
    </row>
    <row r="1100" spans="1:9" hidden="1" x14ac:dyDescent="0.2">
      <c r="A1100" t="s">
        <v>18</v>
      </c>
      <c r="B1100" s="4" t="s">
        <v>548</v>
      </c>
      <c r="C1100" s="5">
        <v>44586</v>
      </c>
      <c r="D1100" t="s">
        <v>41</v>
      </c>
      <c r="E1100" t="s">
        <v>486</v>
      </c>
      <c r="F1100" t="s">
        <v>368</v>
      </c>
      <c r="G1100" s="6">
        <v>36</v>
      </c>
      <c r="H1100" s="7">
        <v>0.85</v>
      </c>
      <c r="I1100" s="7">
        <v>30.6</v>
      </c>
    </row>
    <row r="1101" spans="1:9" hidden="1" x14ac:dyDescent="0.2">
      <c r="A1101" t="s">
        <v>18</v>
      </c>
      <c r="B1101" s="4" t="s">
        <v>549</v>
      </c>
      <c r="C1101" s="5">
        <v>44580</v>
      </c>
      <c r="D1101" t="s">
        <v>41</v>
      </c>
      <c r="E1101" t="s">
        <v>328</v>
      </c>
      <c r="F1101" t="s">
        <v>368</v>
      </c>
      <c r="G1101" s="6">
        <v>62</v>
      </c>
      <c r="H1101" s="7">
        <v>1</v>
      </c>
      <c r="I1101" s="7">
        <v>62</v>
      </c>
    </row>
    <row r="1102" spans="1:9" hidden="1" x14ac:dyDescent="0.2">
      <c r="A1102" t="s">
        <v>18</v>
      </c>
      <c r="B1102" s="4" t="s">
        <v>550</v>
      </c>
      <c r="C1102" s="5">
        <v>44579</v>
      </c>
      <c r="D1102" t="s">
        <v>41</v>
      </c>
      <c r="E1102" t="s">
        <v>331</v>
      </c>
      <c r="F1102" t="s">
        <v>368</v>
      </c>
      <c r="G1102" s="6">
        <v>57</v>
      </c>
      <c r="H1102" s="7">
        <v>1.425</v>
      </c>
      <c r="I1102" s="7">
        <v>81.22</v>
      </c>
    </row>
    <row r="1103" spans="1:9" hidden="1" x14ac:dyDescent="0.2">
      <c r="A1103" t="s">
        <v>18</v>
      </c>
      <c r="B1103" s="4" t="s">
        <v>551</v>
      </c>
      <c r="C1103" s="5">
        <v>44575</v>
      </c>
      <c r="D1103" t="s">
        <v>41</v>
      </c>
      <c r="E1103" t="s">
        <v>284</v>
      </c>
      <c r="F1103" t="s">
        <v>368</v>
      </c>
      <c r="G1103" s="6">
        <v>22</v>
      </c>
      <c r="H1103" s="7">
        <v>1.75</v>
      </c>
      <c r="I1103" s="7">
        <v>38.5</v>
      </c>
    </row>
    <row r="1104" spans="1:9" hidden="1" x14ac:dyDescent="0.2">
      <c r="A1104" t="s">
        <v>18</v>
      </c>
      <c r="B1104" s="4" t="s">
        <v>551</v>
      </c>
      <c r="C1104" s="5">
        <v>44575</v>
      </c>
      <c r="D1104" t="s">
        <v>41</v>
      </c>
      <c r="E1104" t="s">
        <v>296</v>
      </c>
      <c r="F1104" t="s">
        <v>368</v>
      </c>
      <c r="G1104" s="6">
        <v>49</v>
      </c>
      <c r="H1104" s="7">
        <v>0.76</v>
      </c>
      <c r="I1104" s="7">
        <v>37.24</v>
      </c>
    </row>
    <row r="1105" spans="1:9" hidden="1" x14ac:dyDescent="0.2">
      <c r="A1105" t="s">
        <v>18</v>
      </c>
      <c r="B1105" s="4" t="s">
        <v>551</v>
      </c>
      <c r="C1105" s="5">
        <v>44575</v>
      </c>
      <c r="D1105" t="s">
        <v>41</v>
      </c>
      <c r="E1105" t="s">
        <v>510</v>
      </c>
      <c r="F1105" t="s">
        <v>368</v>
      </c>
      <c r="G1105" s="6">
        <v>10</v>
      </c>
      <c r="H1105" s="7">
        <v>0.88</v>
      </c>
      <c r="I1105" s="7">
        <v>8.8000000000000007</v>
      </c>
    </row>
    <row r="1106" spans="1:9" hidden="1" x14ac:dyDescent="0.2">
      <c r="A1106" t="s">
        <v>18</v>
      </c>
      <c r="B1106" s="4" t="s">
        <v>551</v>
      </c>
      <c r="C1106" s="5">
        <v>44575</v>
      </c>
      <c r="D1106" t="s">
        <v>41</v>
      </c>
      <c r="E1106" t="s">
        <v>297</v>
      </c>
      <c r="F1106" t="s">
        <v>368</v>
      </c>
      <c r="G1106" s="6">
        <v>61</v>
      </c>
      <c r="H1106" s="7">
        <v>0.65</v>
      </c>
      <c r="I1106" s="7">
        <v>39.65</v>
      </c>
    </row>
    <row r="1107" spans="1:9" hidden="1" x14ac:dyDescent="0.2">
      <c r="A1107" t="s">
        <v>18</v>
      </c>
      <c r="B1107" s="4" t="s">
        <v>551</v>
      </c>
      <c r="C1107" s="5">
        <v>44575</v>
      </c>
      <c r="D1107" t="s">
        <v>41</v>
      </c>
      <c r="E1107" t="s">
        <v>329</v>
      </c>
      <c r="F1107" t="s">
        <v>368</v>
      </c>
      <c r="G1107" s="6">
        <v>48</v>
      </c>
      <c r="H1107" s="7">
        <v>0.46</v>
      </c>
      <c r="I1107" s="7">
        <v>22.08</v>
      </c>
    </row>
    <row r="1108" spans="1:9" hidden="1" x14ac:dyDescent="0.2">
      <c r="A1108" t="s">
        <v>18</v>
      </c>
      <c r="B1108" s="4" t="s">
        <v>551</v>
      </c>
      <c r="C1108" s="5">
        <v>44575</v>
      </c>
      <c r="D1108" t="s">
        <v>41</v>
      </c>
      <c r="E1108" t="s">
        <v>511</v>
      </c>
      <c r="F1108" t="s">
        <v>368</v>
      </c>
      <c r="G1108" s="6">
        <v>25</v>
      </c>
      <c r="H1108" s="7">
        <v>0.7</v>
      </c>
      <c r="I1108" s="7">
        <v>17.5</v>
      </c>
    </row>
    <row r="1109" spans="1:9" hidden="1" x14ac:dyDescent="0.2">
      <c r="A1109" t="s">
        <v>18</v>
      </c>
      <c r="B1109" s="4" t="s">
        <v>551</v>
      </c>
      <c r="C1109" s="5">
        <v>44575</v>
      </c>
      <c r="D1109" t="s">
        <v>41</v>
      </c>
      <c r="E1109" t="s">
        <v>512</v>
      </c>
      <c r="F1109" t="s">
        <v>368</v>
      </c>
      <c r="G1109" s="6">
        <v>28</v>
      </c>
      <c r="H1109" s="7">
        <v>0.81</v>
      </c>
      <c r="I1109" s="7">
        <v>22.68</v>
      </c>
    </row>
    <row r="1110" spans="1:9" hidden="1" x14ac:dyDescent="0.2">
      <c r="A1110" t="s">
        <v>18</v>
      </c>
      <c r="B1110" s="4" t="s">
        <v>551</v>
      </c>
      <c r="C1110" s="5">
        <v>44575</v>
      </c>
      <c r="D1110" t="s">
        <v>41</v>
      </c>
      <c r="E1110" t="s">
        <v>484</v>
      </c>
      <c r="F1110" t="s">
        <v>368</v>
      </c>
      <c r="G1110" s="6">
        <v>48</v>
      </c>
      <c r="H1110" s="7">
        <v>0.64</v>
      </c>
      <c r="I1110" s="7">
        <v>30.72</v>
      </c>
    </row>
    <row r="1111" spans="1:9" hidden="1" x14ac:dyDescent="0.2">
      <c r="A1111" t="s">
        <v>18</v>
      </c>
      <c r="B1111" s="4" t="s">
        <v>552</v>
      </c>
      <c r="C1111" s="5">
        <v>44568</v>
      </c>
      <c r="D1111" t="s">
        <v>24</v>
      </c>
      <c r="E1111" t="s">
        <v>63</v>
      </c>
      <c r="F1111" t="s">
        <v>368</v>
      </c>
      <c r="G1111" s="6">
        <v>500</v>
      </c>
      <c r="H1111" s="7">
        <v>0.05</v>
      </c>
      <c r="I1111" s="7">
        <v>21.15</v>
      </c>
    </row>
    <row r="1112" spans="1:9" hidden="1" x14ac:dyDescent="0.2">
      <c r="A1112" t="s">
        <v>18</v>
      </c>
      <c r="B1112" s="4" t="s">
        <v>552</v>
      </c>
      <c r="C1112" s="5">
        <v>44568</v>
      </c>
      <c r="D1112" t="s">
        <v>41</v>
      </c>
      <c r="E1112" t="s">
        <v>509</v>
      </c>
      <c r="F1112" t="s">
        <v>368</v>
      </c>
      <c r="G1112" s="6">
        <v>34</v>
      </c>
      <c r="H1112" s="7">
        <v>0.52</v>
      </c>
      <c r="I1112" s="7">
        <v>17.68</v>
      </c>
    </row>
    <row r="1113" spans="1:9" hidden="1" x14ac:dyDescent="0.2">
      <c r="A1113" t="s">
        <v>18</v>
      </c>
      <c r="B1113" s="4" t="s">
        <v>552</v>
      </c>
      <c r="C1113" s="5">
        <v>44568</v>
      </c>
      <c r="D1113" t="s">
        <v>24</v>
      </c>
      <c r="E1113" t="s">
        <v>223</v>
      </c>
      <c r="F1113" t="s">
        <v>368</v>
      </c>
      <c r="G1113" s="6">
        <v>100</v>
      </c>
      <c r="H1113" s="7">
        <v>0.309</v>
      </c>
      <c r="I1113" s="7">
        <v>26.25</v>
      </c>
    </row>
    <row r="1114" spans="1:9" hidden="1" x14ac:dyDescent="0.2">
      <c r="A1114" t="s">
        <v>18</v>
      </c>
      <c r="B1114" s="4" t="s">
        <v>553</v>
      </c>
      <c r="C1114" s="5">
        <v>44564</v>
      </c>
      <c r="D1114" t="s">
        <v>24</v>
      </c>
      <c r="E1114" t="s">
        <v>289</v>
      </c>
      <c r="F1114" t="s">
        <v>368</v>
      </c>
      <c r="G1114" s="6">
        <v>500</v>
      </c>
      <c r="H1114" s="7">
        <v>1.7000000000000001E-2</v>
      </c>
      <c r="I1114" s="7">
        <v>7.33</v>
      </c>
    </row>
    <row r="1115" spans="1:9" hidden="1" x14ac:dyDescent="0.2">
      <c r="A1115" t="s">
        <v>18</v>
      </c>
      <c r="B1115" s="4" t="s">
        <v>553</v>
      </c>
      <c r="C1115" s="5">
        <v>44564</v>
      </c>
      <c r="D1115" t="s">
        <v>24</v>
      </c>
      <c r="E1115" t="s">
        <v>476</v>
      </c>
      <c r="F1115" t="s">
        <v>368</v>
      </c>
      <c r="G1115" s="6">
        <v>300</v>
      </c>
      <c r="H1115" s="7">
        <v>2.4E-2</v>
      </c>
      <c r="I1115" s="7">
        <v>5.99</v>
      </c>
    </row>
    <row r="1116" spans="1:9" hidden="1" x14ac:dyDescent="0.2">
      <c r="A1116" t="s">
        <v>18</v>
      </c>
      <c r="B1116" s="4" t="s">
        <v>554</v>
      </c>
      <c r="C1116" s="5">
        <v>44560</v>
      </c>
      <c r="D1116" t="s">
        <v>35</v>
      </c>
      <c r="E1116" t="s">
        <v>63</v>
      </c>
      <c r="F1116" t="s">
        <v>368</v>
      </c>
      <c r="G1116" s="6">
        <v>500</v>
      </c>
      <c r="H1116" s="7">
        <v>0.14000000000000001</v>
      </c>
      <c r="I1116" s="7">
        <v>74.72</v>
      </c>
    </row>
    <row r="1117" spans="1:9" hidden="1" x14ac:dyDescent="0.2">
      <c r="A1117" t="s">
        <v>18</v>
      </c>
      <c r="B1117" s="4" t="s">
        <v>554</v>
      </c>
      <c r="C1117" s="5">
        <v>44560</v>
      </c>
      <c r="D1117" t="s">
        <v>35</v>
      </c>
      <c r="E1117" t="s">
        <v>289</v>
      </c>
      <c r="F1117" t="s">
        <v>368</v>
      </c>
      <c r="G1117" s="6">
        <v>500</v>
      </c>
      <c r="H1117" s="7">
        <v>0.19</v>
      </c>
      <c r="I1117" s="7">
        <v>98.29</v>
      </c>
    </row>
    <row r="1118" spans="1:9" hidden="1" x14ac:dyDescent="0.2">
      <c r="A1118" t="s">
        <v>18</v>
      </c>
      <c r="B1118" s="4" t="s">
        <v>554</v>
      </c>
      <c r="C1118" s="5">
        <v>44560</v>
      </c>
      <c r="D1118" t="s">
        <v>24</v>
      </c>
      <c r="E1118" t="s">
        <v>289</v>
      </c>
      <c r="F1118" t="s">
        <v>368</v>
      </c>
      <c r="G1118" s="6">
        <v>500</v>
      </c>
      <c r="H1118" s="7">
        <v>0.02</v>
      </c>
      <c r="I1118" s="7">
        <v>8.35</v>
      </c>
    </row>
    <row r="1119" spans="1:9" hidden="1" x14ac:dyDescent="0.2">
      <c r="A1119" t="s">
        <v>18</v>
      </c>
      <c r="B1119" s="4" t="s">
        <v>554</v>
      </c>
      <c r="C1119" s="5">
        <v>44560</v>
      </c>
      <c r="D1119" t="s">
        <v>24</v>
      </c>
      <c r="E1119" t="s">
        <v>152</v>
      </c>
      <c r="F1119" t="s">
        <v>368</v>
      </c>
      <c r="G1119" s="6">
        <v>500</v>
      </c>
      <c r="H1119" s="7">
        <v>0.24</v>
      </c>
      <c r="I1119" s="7">
        <v>102.65</v>
      </c>
    </row>
    <row r="1120" spans="1:9" hidden="1" x14ac:dyDescent="0.2">
      <c r="A1120" t="s">
        <v>18</v>
      </c>
      <c r="B1120" s="4" t="s">
        <v>554</v>
      </c>
      <c r="C1120" s="5">
        <v>44560</v>
      </c>
      <c r="D1120" t="s">
        <v>24</v>
      </c>
      <c r="E1120" t="s">
        <v>57</v>
      </c>
      <c r="F1120" t="s">
        <v>368</v>
      </c>
      <c r="G1120" s="6">
        <v>300</v>
      </c>
      <c r="H1120" s="7">
        <v>0.09</v>
      </c>
      <c r="I1120" s="7">
        <v>24.17</v>
      </c>
    </row>
    <row r="1121" spans="1:9" hidden="1" x14ac:dyDescent="0.2">
      <c r="A1121" t="s">
        <v>18</v>
      </c>
      <c r="B1121" s="4" t="s">
        <v>554</v>
      </c>
      <c r="C1121" s="5">
        <v>44560</v>
      </c>
      <c r="D1121" t="s">
        <v>24</v>
      </c>
      <c r="E1121" t="s">
        <v>350</v>
      </c>
      <c r="F1121" t="s">
        <v>368</v>
      </c>
      <c r="G1121" s="6">
        <v>200</v>
      </c>
      <c r="H1121" s="7">
        <v>0.05</v>
      </c>
      <c r="I1121" s="7">
        <v>8.5</v>
      </c>
    </row>
    <row r="1122" spans="1:9" hidden="1" x14ac:dyDescent="0.2">
      <c r="A1122" t="s">
        <v>18</v>
      </c>
      <c r="B1122" s="4" t="s">
        <v>555</v>
      </c>
      <c r="C1122" s="5">
        <v>44559</v>
      </c>
      <c r="D1122" t="s">
        <v>35</v>
      </c>
      <c r="E1122" t="s">
        <v>37</v>
      </c>
      <c r="F1122" t="s">
        <v>368</v>
      </c>
      <c r="G1122" s="6">
        <v>200</v>
      </c>
      <c r="H1122" s="7">
        <v>0.93</v>
      </c>
      <c r="I1122" s="7">
        <v>186.34</v>
      </c>
    </row>
    <row r="1123" spans="1:9" hidden="1" x14ac:dyDescent="0.2">
      <c r="A1123" t="s">
        <v>18</v>
      </c>
      <c r="B1123" s="4" t="s">
        <v>555</v>
      </c>
      <c r="C1123" s="5">
        <v>44559</v>
      </c>
      <c r="D1123" t="s">
        <v>24</v>
      </c>
      <c r="E1123" t="s">
        <v>37</v>
      </c>
      <c r="F1123" t="s">
        <v>368</v>
      </c>
      <c r="G1123" s="6">
        <v>200</v>
      </c>
      <c r="H1123" s="7">
        <v>0.57999999999999996</v>
      </c>
      <c r="I1123" s="7">
        <v>99.69</v>
      </c>
    </row>
    <row r="1124" spans="1:9" hidden="1" x14ac:dyDescent="0.2">
      <c r="A1124" t="s">
        <v>18</v>
      </c>
      <c r="B1124" s="4" t="s">
        <v>556</v>
      </c>
      <c r="C1124" s="5">
        <v>44553</v>
      </c>
      <c r="D1124" t="s">
        <v>41</v>
      </c>
      <c r="E1124" t="s">
        <v>486</v>
      </c>
      <c r="F1124" t="s">
        <v>368</v>
      </c>
      <c r="G1124" s="6">
        <v>36</v>
      </c>
      <c r="H1124" s="7">
        <v>0.55000000000000004</v>
      </c>
      <c r="I1124" s="7">
        <v>19.8</v>
      </c>
    </row>
    <row r="1125" spans="1:9" hidden="1" x14ac:dyDescent="0.2">
      <c r="A1125" s="12" t="s">
        <v>18</v>
      </c>
      <c r="B1125" s="13" t="s">
        <v>557</v>
      </c>
      <c r="C1125" s="14">
        <v>44552</v>
      </c>
      <c r="D1125" s="12" t="s">
        <v>111</v>
      </c>
      <c r="E1125" s="12" t="s">
        <v>476</v>
      </c>
      <c r="F1125" s="12" t="s">
        <v>368</v>
      </c>
      <c r="G1125" s="15">
        <v>15</v>
      </c>
      <c r="H1125" s="16" t="s">
        <v>17</v>
      </c>
      <c r="I1125" s="16" t="s">
        <v>17</v>
      </c>
    </row>
    <row r="1126" spans="1:9" hidden="1" x14ac:dyDescent="0.2">
      <c r="A1126" t="s">
        <v>18</v>
      </c>
      <c r="B1126" s="4" t="s">
        <v>558</v>
      </c>
      <c r="C1126" s="5">
        <v>44547</v>
      </c>
      <c r="D1126" t="s">
        <v>41</v>
      </c>
      <c r="E1126" t="s">
        <v>328</v>
      </c>
      <c r="F1126" t="s">
        <v>368</v>
      </c>
      <c r="G1126" s="6">
        <v>62</v>
      </c>
      <c r="H1126" s="7">
        <v>1</v>
      </c>
      <c r="I1126" s="7">
        <v>62</v>
      </c>
    </row>
    <row r="1127" spans="1:9" hidden="1" x14ac:dyDescent="0.2">
      <c r="A1127" t="s">
        <v>18</v>
      </c>
      <c r="B1127" s="4" t="s">
        <v>559</v>
      </c>
      <c r="C1127" s="5">
        <v>44546</v>
      </c>
      <c r="D1127" t="s">
        <v>41</v>
      </c>
      <c r="E1127" t="s">
        <v>331</v>
      </c>
      <c r="F1127" t="s">
        <v>368</v>
      </c>
      <c r="G1127" s="6">
        <v>57</v>
      </c>
      <c r="H1127" s="7">
        <v>1.1200000000000001</v>
      </c>
      <c r="I1127" s="7">
        <v>64.27</v>
      </c>
    </row>
    <row r="1128" spans="1:9" hidden="1" x14ac:dyDescent="0.2">
      <c r="A1128" t="s">
        <v>18</v>
      </c>
      <c r="B1128" s="4" t="s">
        <v>560</v>
      </c>
      <c r="C1128" s="5">
        <v>44545</v>
      </c>
      <c r="D1128" t="s">
        <v>35</v>
      </c>
      <c r="E1128" t="s">
        <v>32</v>
      </c>
      <c r="F1128" t="s">
        <v>368</v>
      </c>
      <c r="G1128" s="6">
        <v>800</v>
      </c>
      <c r="H1128" s="7">
        <v>2.19</v>
      </c>
      <c r="I1128" s="7">
        <v>1756.1</v>
      </c>
    </row>
    <row r="1129" spans="1:9" hidden="1" x14ac:dyDescent="0.2">
      <c r="A1129" t="s">
        <v>18</v>
      </c>
      <c r="B1129" s="4" t="s">
        <v>560</v>
      </c>
      <c r="C1129" s="5">
        <v>44545</v>
      </c>
      <c r="D1129" t="s">
        <v>24</v>
      </c>
      <c r="E1129" t="s">
        <v>32</v>
      </c>
      <c r="F1129" t="s">
        <v>368</v>
      </c>
      <c r="G1129" s="6">
        <v>800</v>
      </c>
      <c r="H1129" s="7">
        <v>1.05</v>
      </c>
      <c r="I1129" s="7">
        <v>717.64</v>
      </c>
    </row>
    <row r="1130" spans="1:9" hidden="1" x14ac:dyDescent="0.2">
      <c r="A1130" t="s">
        <v>18</v>
      </c>
      <c r="B1130" s="4" t="s">
        <v>561</v>
      </c>
      <c r="C1130" s="5">
        <v>44544</v>
      </c>
      <c r="D1130" t="s">
        <v>41</v>
      </c>
      <c r="E1130" t="s">
        <v>284</v>
      </c>
      <c r="F1130" t="s">
        <v>368</v>
      </c>
      <c r="G1130" s="6">
        <v>22</v>
      </c>
      <c r="H1130" s="7">
        <v>1.1000000000000001</v>
      </c>
      <c r="I1130" s="7">
        <v>24.2</v>
      </c>
    </row>
    <row r="1131" spans="1:9" hidden="1" x14ac:dyDescent="0.2">
      <c r="A1131" t="s">
        <v>18</v>
      </c>
      <c r="B1131" s="4" t="s">
        <v>561</v>
      </c>
      <c r="C1131" s="5">
        <v>44544</v>
      </c>
      <c r="D1131" t="s">
        <v>41</v>
      </c>
      <c r="E1131" t="s">
        <v>296</v>
      </c>
      <c r="F1131" t="s">
        <v>368</v>
      </c>
      <c r="G1131" s="6">
        <v>49</v>
      </c>
      <c r="H1131" s="7">
        <v>0.72</v>
      </c>
      <c r="I1131" s="7">
        <v>35.28</v>
      </c>
    </row>
    <row r="1132" spans="1:9" hidden="1" x14ac:dyDescent="0.2">
      <c r="A1132" t="s">
        <v>18</v>
      </c>
      <c r="B1132" s="4" t="s">
        <v>561</v>
      </c>
      <c r="C1132" s="5">
        <v>44544</v>
      </c>
      <c r="D1132" t="s">
        <v>41</v>
      </c>
      <c r="E1132" t="s">
        <v>510</v>
      </c>
      <c r="F1132" t="s">
        <v>368</v>
      </c>
      <c r="G1132" s="6">
        <v>10</v>
      </c>
      <c r="H1132" s="7">
        <v>0.77</v>
      </c>
      <c r="I1132" s="7">
        <v>7.7</v>
      </c>
    </row>
    <row r="1133" spans="1:9" hidden="1" x14ac:dyDescent="0.2">
      <c r="A1133" t="s">
        <v>18</v>
      </c>
      <c r="B1133" s="4" t="s">
        <v>561</v>
      </c>
      <c r="C1133" s="5">
        <v>44544</v>
      </c>
      <c r="D1133" t="s">
        <v>41</v>
      </c>
      <c r="E1133" t="s">
        <v>297</v>
      </c>
      <c r="F1133" t="s">
        <v>368</v>
      </c>
      <c r="G1133" s="6">
        <v>61</v>
      </c>
      <c r="H1133" s="7">
        <v>0.62</v>
      </c>
      <c r="I1133" s="7">
        <v>37.82</v>
      </c>
    </row>
    <row r="1134" spans="1:9" hidden="1" x14ac:dyDescent="0.2">
      <c r="A1134" t="s">
        <v>18</v>
      </c>
      <c r="B1134" s="4" t="s">
        <v>561</v>
      </c>
      <c r="C1134" s="5">
        <v>44544</v>
      </c>
      <c r="D1134" t="s">
        <v>41</v>
      </c>
      <c r="E1134" t="s">
        <v>329</v>
      </c>
      <c r="F1134" t="s">
        <v>368</v>
      </c>
      <c r="G1134" s="6">
        <v>48</v>
      </c>
      <c r="H1134" s="7">
        <v>0.46</v>
      </c>
      <c r="I1134" s="7">
        <v>22.08</v>
      </c>
    </row>
    <row r="1135" spans="1:9" hidden="1" x14ac:dyDescent="0.2">
      <c r="A1135" t="s">
        <v>18</v>
      </c>
      <c r="B1135" s="4" t="s">
        <v>561</v>
      </c>
      <c r="C1135" s="5">
        <v>44544</v>
      </c>
      <c r="D1135" t="s">
        <v>41</v>
      </c>
      <c r="E1135" t="s">
        <v>511</v>
      </c>
      <c r="F1135" t="s">
        <v>368</v>
      </c>
      <c r="G1135" s="6">
        <v>25</v>
      </c>
      <c r="H1135" s="7">
        <v>0.64</v>
      </c>
      <c r="I1135" s="7">
        <v>16</v>
      </c>
    </row>
    <row r="1136" spans="1:9" hidden="1" x14ac:dyDescent="0.2">
      <c r="A1136" t="s">
        <v>18</v>
      </c>
      <c r="B1136" s="4" t="s">
        <v>561</v>
      </c>
      <c r="C1136" s="5">
        <v>44544</v>
      </c>
      <c r="D1136" t="s">
        <v>41</v>
      </c>
      <c r="E1136" t="s">
        <v>512</v>
      </c>
      <c r="F1136" t="s">
        <v>368</v>
      </c>
      <c r="G1136" s="6">
        <v>28</v>
      </c>
      <c r="H1136" s="7">
        <v>0.61</v>
      </c>
      <c r="I1136" s="7">
        <v>17.079999999999998</v>
      </c>
    </row>
    <row r="1137" spans="1:9" hidden="1" x14ac:dyDescent="0.2">
      <c r="A1137" t="s">
        <v>18</v>
      </c>
      <c r="B1137" s="4" t="s">
        <v>561</v>
      </c>
      <c r="C1137" s="5">
        <v>44544</v>
      </c>
      <c r="D1137" t="s">
        <v>41</v>
      </c>
      <c r="E1137" t="s">
        <v>484</v>
      </c>
      <c r="F1137" t="s">
        <v>368</v>
      </c>
      <c r="G1137" s="6">
        <v>48</v>
      </c>
      <c r="H1137" s="7">
        <v>0.64</v>
      </c>
      <c r="I1137" s="7">
        <v>30.72</v>
      </c>
    </row>
    <row r="1138" spans="1:9" hidden="1" x14ac:dyDescent="0.2">
      <c r="A1138" t="s">
        <v>18</v>
      </c>
      <c r="B1138" s="4" t="s">
        <v>562</v>
      </c>
      <c r="C1138" s="5">
        <v>44540</v>
      </c>
      <c r="D1138" t="s">
        <v>67</v>
      </c>
      <c r="E1138" t="s">
        <v>361</v>
      </c>
      <c r="F1138" t="s">
        <v>368</v>
      </c>
      <c r="G1138" s="6">
        <v>1</v>
      </c>
      <c r="H1138" s="7">
        <v>166.36</v>
      </c>
      <c r="I1138" s="7">
        <v>154.05000000000001</v>
      </c>
    </row>
    <row r="1139" spans="1:9" hidden="1" x14ac:dyDescent="0.2">
      <c r="A1139" t="s">
        <v>18</v>
      </c>
      <c r="B1139" s="4" t="s">
        <v>563</v>
      </c>
      <c r="C1139" s="5">
        <v>44537</v>
      </c>
      <c r="D1139" t="s">
        <v>41</v>
      </c>
      <c r="E1139" t="s">
        <v>509</v>
      </c>
      <c r="F1139" t="s">
        <v>368</v>
      </c>
      <c r="G1139" s="6">
        <v>34</v>
      </c>
      <c r="H1139" s="7">
        <v>0.52</v>
      </c>
      <c r="I1139" s="7">
        <v>17.68</v>
      </c>
    </row>
    <row r="1140" spans="1:9" x14ac:dyDescent="0.2">
      <c r="A1140" t="s">
        <v>8</v>
      </c>
      <c r="B1140" s="4" t="s">
        <v>563</v>
      </c>
      <c r="C1140" s="5">
        <v>44537</v>
      </c>
      <c r="D1140" t="s">
        <v>14</v>
      </c>
      <c r="E1140" t="s">
        <v>483</v>
      </c>
      <c r="F1140" t="s">
        <v>368</v>
      </c>
      <c r="G1140" s="6">
        <v>10</v>
      </c>
      <c r="H1140" s="7" t="s">
        <v>17</v>
      </c>
      <c r="I1140" s="7" t="s">
        <v>17</v>
      </c>
    </row>
    <row r="1141" spans="1:9" hidden="1" x14ac:dyDescent="0.2">
      <c r="A1141" t="s">
        <v>18</v>
      </c>
      <c r="B1141" s="4" t="s">
        <v>564</v>
      </c>
      <c r="C1141" s="5">
        <v>44531</v>
      </c>
      <c r="D1141" t="s">
        <v>24</v>
      </c>
      <c r="E1141" t="s">
        <v>289</v>
      </c>
      <c r="F1141" t="s">
        <v>368</v>
      </c>
      <c r="G1141" s="6">
        <v>500</v>
      </c>
      <c r="H1141" s="7">
        <v>0.01</v>
      </c>
      <c r="I1141" s="7">
        <v>7.33</v>
      </c>
    </row>
    <row r="1142" spans="1:9" hidden="1" x14ac:dyDescent="0.2">
      <c r="A1142" t="s">
        <v>18</v>
      </c>
      <c r="B1142" s="4" t="s">
        <v>564</v>
      </c>
      <c r="C1142" s="5">
        <v>44531</v>
      </c>
      <c r="D1142" t="s">
        <v>24</v>
      </c>
      <c r="E1142" t="s">
        <v>123</v>
      </c>
      <c r="F1142" t="s">
        <v>368</v>
      </c>
      <c r="G1142" s="6">
        <v>300</v>
      </c>
      <c r="H1142" s="7">
        <v>0.01</v>
      </c>
      <c r="I1142" s="7">
        <v>4.5</v>
      </c>
    </row>
    <row r="1143" spans="1:9" hidden="1" x14ac:dyDescent="0.2">
      <c r="A1143" t="s">
        <v>18</v>
      </c>
      <c r="B1143" s="4" t="s">
        <v>565</v>
      </c>
      <c r="C1143" s="5">
        <v>44530</v>
      </c>
      <c r="D1143" t="s">
        <v>81</v>
      </c>
      <c r="E1143" t="s">
        <v>479</v>
      </c>
      <c r="F1143" t="s">
        <v>368</v>
      </c>
      <c r="G1143" s="6">
        <v>100</v>
      </c>
      <c r="H1143" s="7">
        <v>15.83</v>
      </c>
      <c r="I1143" s="7">
        <v>1583</v>
      </c>
    </row>
    <row r="1144" spans="1:9" hidden="1" x14ac:dyDescent="0.2">
      <c r="A1144" t="s">
        <v>18</v>
      </c>
      <c r="B1144" s="4" t="s">
        <v>565</v>
      </c>
      <c r="C1144" s="5">
        <v>44530</v>
      </c>
      <c r="D1144" t="s">
        <v>81</v>
      </c>
      <c r="E1144" t="s">
        <v>223</v>
      </c>
      <c r="F1144" t="s">
        <v>368</v>
      </c>
      <c r="G1144" s="6">
        <v>100</v>
      </c>
      <c r="H1144" s="7">
        <v>28</v>
      </c>
      <c r="I1144" s="7">
        <v>2800</v>
      </c>
    </row>
    <row r="1145" spans="1:9" hidden="1" x14ac:dyDescent="0.2">
      <c r="A1145" t="s">
        <v>18</v>
      </c>
      <c r="B1145" s="4" t="s">
        <v>566</v>
      </c>
      <c r="C1145" s="5">
        <v>44529</v>
      </c>
      <c r="D1145" t="s">
        <v>35</v>
      </c>
      <c r="E1145" t="s">
        <v>44</v>
      </c>
      <c r="F1145" t="s">
        <v>368</v>
      </c>
      <c r="G1145" s="6">
        <v>300</v>
      </c>
      <c r="H1145" s="7">
        <v>0.96</v>
      </c>
      <c r="I1145" s="7">
        <v>290.27999999999997</v>
      </c>
    </row>
    <row r="1146" spans="1:9" hidden="1" x14ac:dyDescent="0.2">
      <c r="A1146" t="s">
        <v>18</v>
      </c>
      <c r="B1146" s="4" t="s">
        <v>567</v>
      </c>
      <c r="C1146" s="5">
        <v>44525</v>
      </c>
      <c r="D1146" t="s">
        <v>41</v>
      </c>
      <c r="E1146" t="s">
        <v>486</v>
      </c>
      <c r="F1146" t="s">
        <v>368</v>
      </c>
      <c r="G1146" s="6">
        <v>28</v>
      </c>
      <c r="H1146" s="7">
        <v>0.5</v>
      </c>
      <c r="I1146" s="7">
        <v>14</v>
      </c>
    </row>
    <row r="1147" spans="1:9" hidden="1" x14ac:dyDescent="0.2">
      <c r="A1147" t="s">
        <v>18</v>
      </c>
      <c r="B1147" s="4" t="s">
        <v>567</v>
      </c>
      <c r="C1147" s="5">
        <v>44525</v>
      </c>
      <c r="D1147" t="s">
        <v>41</v>
      </c>
      <c r="E1147" t="s">
        <v>568</v>
      </c>
      <c r="F1147" t="s">
        <v>368</v>
      </c>
      <c r="G1147" s="6">
        <v>8</v>
      </c>
      <c r="H1147" s="7">
        <v>0.93</v>
      </c>
      <c r="I1147" s="7">
        <v>7.51</v>
      </c>
    </row>
    <row r="1148" spans="1:9" hidden="1" x14ac:dyDescent="0.2">
      <c r="A1148" t="s">
        <v>8</v>
      </c>
      <c r="B1148" s="4" t="s">
        <v>569</v>
      </c>
      <c r="C1148" s="5">
        <v>44524</v>
      </c>
      <c r="D1148" t="s">
        <v>81</v>
      </c>
      <c r="E1148" t="s">
        <v>570</v>
      </c>
      <c r="F1148" t="s">
        <v>368</v>
      </c>
      <c r="G1148" s="6">
        <v>115</v>
      </c>
      <c r="H1148" s="7">
        <v>15.26</v>
      </c>
      <c r="I1148" s="7">
        <v>1755.94</v>
      </c>
    </row>
    <row r="1149" spans="1:9" hidden="1" x14ac:dyDescent="0.2">
      <c r="A1149" t="s">
        <v>18</v>
      </c>
      <c r="B1149" s="4" t="s">
        <v>569</v>
      </c>
      <c r="C1149" s="5">
        <v>44524</v>
      </c>
      <c r="D1149" t="s">
        <v>81</v>
      </c>
      <c r="E1149" t="s">
        <v>57</v>
      </c>
      <c r="F1149" t="s">
        <v>368</v>
      </c>
      <c r="G1149" s="6">
        <v>100</v>
      </c>
      <c r="H1149" s="7">
        <v>19.079999999999998</v>
      </c>
      <c r="I1149" s="7">
        <v>1908</v>
      </c>
    </row>
    <row r="1150" spans="1:9" hidden="1" x14ac:dyDescent="0.2">
      <c r="A1150" t="s">
        <v>8</v>
      </c>
      <c r="B1150" s="4" t="s">
        <v>569</v>
      </c>
      <c r="C1150" s="5">
        <v>44524</v>
      </c>
      <c r="D1150" t="s">
        <v>81</v>
      </c>
      <c r="E1150" t="s">
        <v>123</v>
      </c>
      <c r="F1150" t="s">
        <v>368</v>
      </c>
      <c r="G1150" s="6">
        <v>300</v>
      </c>
      <c r="H1150" s="7">
        <v>20.25</v>
      </c>
      <c r="I1150" s="7">
        <v>6075</v>
      </c>
    </row>
    <row r="1151" spans="1:9" hidden="1" x14ac:dyDescent="0.2">
      <c r="A1151" t="s">
        <v>18</v>
      </c>
      <c r="B1151" s="4" t="s">
        <v>569</v>
      </c>
      <c r="C1151" s="5">
        <v>44524</v>
      </c>
      <c r="D1151" t="s">
        <v>81</v>
      </c>
      <c r="E1151" t="s">
        <v>172</v>
      </c>
      <c r="F1151" t="s">
        <v>368</v>
      </c>
      <c r="G1151" s="6">
        <v>200</v>
      </c>
      <c r="H1151" s="7">
        <v>9.25</v>
      </c>
      <c r="I1151" s="7">
        <v>1850</v>
      </c>
    </row>
    <row r="1152" spans="1:9" hidden="1" x14ac:dyDescent="0.2">
      <c r="A1152" t="s">
        <v>8</v>
      </c>
      <c r="B1152" s="4" t="s">
        <v>569</v>
      </c>
      <c r="C1152" s="5">
        <v>44524</v>
      </c>
      <c r="D1152" t="s">
        <v>81</v>
      </c>
      <c r="E1152" t="s">
        <v>571</v>
      </c>
      <c r="F1152" t="s">
        <v>368</v>
      </c>
      <c r="G1152" s="6">
        <v>200</v>
      </c>
      <c r="H1152" s="7">
        <v>13.27</v>
      </c>
      <c r="I1152" s="7">
        <v>2654</v>
      </c>
    </row>
    <row r="1153" spans="1:9" hidden="1" x14ac:dyDescent="0.2">
      <c r="A1153" s="1" t="s">
        <v>18</v>
      </c>
      <c r="B1153" s="8" t="s">
        <v>569</v>
      </c>
      <c r="C1153" s="9">
        <v>44524</v>
      </c>
      <c r="D1153" s="1" t="s">
        <v>31</v>
      </c>
      <c r="E1153" s="1" t="s">
        <v>486</v>
      </c>
      <c r="F1153" s="1" t="s">
        <v>368</v>
      </c>
      <c r="G1153" s="10">
        <v>8</v>
      </c>
      <c r="H1153" s="11" t="s">
        <v>17</v>
      </c>
      <c r="I1153" s="11" t="s">
        <v>17</v>
      </c>
    </row>
    <row r="1154" spans="1:9" x14ac:dyDescent="0.2">
      <c r="A1154" t="s">
        <v>18</v>
      </c>
      <c r="B1154" s="4" t="s">
        <v>572</v>
      </c>
      <c r="C1154" s="5">
        <v>44523</v>
      </c>
      <c r="D1154" t="s">
        <v>28</v>
      </c>
      <c r="E1154" t="s">
        <v>483</v>
      </c>
      <c r="F1154" t="s">
        <v>368</v>
      </c>
      <c r="G1154" s="6">
        <v>10</v>
      </c>
      <c r="H1154" s="7" t="s">
        <v>17</v>
      </c>
      <c r="I1154" s="7" t="s">
        <v>17</v>
      </c>
    </row>
    <row r="1155" spans="1:9" hidden="1" x14ac:dyDescent="0.2">
      <c r="A1155" t="s">
        <v>18</v>
      </c>
      <c r="B1155" s="4" t="s">
        <v>573</v>
      </c>
      <c r="C1155" s="5">
        <v>44519</v>
      </c>
      <c r="D1155" t="s">
        <v>41</v>
      </c>
      <c r="E1155" t="s">
        <v>328</v>
      </c>
      <c r="F1155" t="s">
        <v>368</v>
      </c>
      <c r="G1155" s="6">
        <v>62</v>
      </c>
      <c r="H1155" s="7">
        <v>1</v>
      </c>
      <c r="I1155" s="7">
        <v>62</v>
      </c>
    </row>
    <row r="1156" spans="1:9" hidden="1" x14ac:dyDescent="0.2">
      <c r="A1156" t="s">
        <v>18</v>
      </c>
      <c r="B1156" s="4" t="s">
        <v>574</v>
      </c>
      <c r="C1156" s="5">
        <v>44518</v>
      </c>
      <c r="D1156" t="s">
        <v>41</v>
      </c>
      <c r="E1156" t="s">
        <v>331</v>
      </c>
      <c r="F1156" t="s">
        <v>368</v>
      </c>
      <c r="G1156" s="6">
        <v>57</v>
      </c>
      <c r="H1156" s="7">
        <v>1.36</v>
      </c>
      <c r="I1156" s="7">
        <v>77.849999999999994</v>
      </c>
    </row>
    <row r="1157" spans="1:9" hidden="1" x14ac:dyDescent="0.2">
      <c r="A1157" t="s">
        <v>18</v>
      </c>
      <c r="B1157" s="4" t="s">
        <v>575</v>
      </c>
      <c r="C1157" s="5">
        <v>44516</v>
      </c>
      <c r="D1157" t="s">
        <v>41</v>
      </c>
      <c r="E1157" t="s">
        <v>284</v>
      </c>
      <c r="F1157" t="s">
        <v>368</v>
      </c>
      <c r="G1157" s="6">
        <v>22</v>
      </c>
      <c r="H1157" s="7">
        <v>1.1000000000000001</v>
      </c>
      <c r="I1157" s="7">
        <v>24.2</v>
      </c>
    </row>
    <row r="1158" spans="1:9" hidden="1" x14ac:dyDescent="0.2">
      <c r="A1158" t="s">
        <v>18</v>
      </c>
      <c r="B1158" s="4" t="s">
        <v>575</v>
      </c>
      <c r="C1158" s="5">
        <v>44516</v>
      </c>
      <c r="D1158" t="s">
        <v>41</v>
      </c>
      <c r="E1158" t="s">
        <v>296</v>
      </c>
      <c r="F1158" t="s">
        <v>368</v>
      </c>
      <c r="G1158" s="6">
        <v>49</v>
      </c>
      <c r="H1158" s="7">
        <v>0.72</v>
      </c>
      <c r="I1158" s="7">
        <v>35.28</v>
      </c>
    </row>
    <row r="1159" spans="1:9" hidden="1" x14ac:dyDescent="0.2">
      <c r="A1159" t="s">
        <v>18</v>
      </c>
      <c r="B1159" s="4" t="s">
        <v>575</v>
      </c>
      <c r="C1159" s="5">
        <v>44516</v>
      </c>
      <c r="D1159" t="s">
        <v>41</v>
      </c>
      <c r="E1159" t="s">
        <v>510</v>
      </c>
      <c r="F1159" t="s">
        <v>368</v>
      </c>
      <c r="G1159" s="6">
        <v>10</v>
      </c>
      <c r="H1159" s="7">
        <v>0.77</v>
      </c>
      <c r="I1159" s="7">
        <v>7.7</v>
      </c>
    </row>
    <row r="1160" spans="1:9" hidden="1" x14ac:dyDescent="0.2">
      <c r="A1160" t="s">
        <v>18</v>
      </c>
      <c r="B1160" s="4" t="s">
        <v>575</v>
      </c>
      <c r="C1160" s="5">
        <v>44516</v>
      </c>
      <c r="D1160" t="s">
        <v>41</v>
      </c>
      <c r="E1160" t="s">
        <v>297</v>
      </c>
      <c r="F1160" t="s">
        <v>368</v>
      </c>
      <c r="G1160" s="6">
        <v>61</v>
      </c>
      <c r="H1160" s="7">
        <v>0.6</v>
      </c>
      <c r="I1160" s="7">
        <v>36.6</v>
      </c>
    </row>
    <row r="1161" spans="1:9" hidden="1" x14ac:dyDescent="0.2">
      <c r="A1161" t="s">
        <v>18</v>
      </c>
      <c r="B1161" s="4" t="s">
        <v>575</v>
      </c>
      <c r="C1161" s="5">
        <v>44516</v>
      </c>
      <c r="D1161" t="s">
        <v>41</v>
      </c>
      <c r="E1161" t="s">
        <v>329</v>
      </c>
      <c r="F1161" t="s">
        <v>368</v>
      </c>
      <c r="G1161" s="6">
        <v>48</v>
      </c>
      <c r="H1161" s="7">
        <v>0.46</v>
      </c>
      <c r="I1161" s="7">
        <v>22.08</v>
      </c>
    </row>
    <row r="1162" spans="1:9" hidden="1" x14ac:dyDescent="0.2">
      <c r="A1162" t="s">
        <v>18</v>
      </c>
      <c r="B1162" s="4" t="s">
        <v>575</v>
      </c>
      <c r="C1162" s="5">
        <v>44516</v>
      </c>
      <c r="D1162" t="s">
        <v>41</v>
      </c>
      <c r="E1162" t="s">
        <v>511</v>
      </c>
      <c r="F1162" t="s">
        <v>368</v>
      </c>
      <c r="G1162" s="6">
        <v>25</v>
      </c>
      <c r="H1162" s="7">
        <v>0.64</v>
      </c>
      <c r="I1162" s="7">
        <v>16</v>
      </c>
    </row>
    <row r="1163" spans="1:9" hidden="1" x14ac:dyDescent="0.2">
      <c r="A1163" t="s">
        <v>18</v>
      </c>
      <c r="B1163" s="4" t="s">
        <v>575</v>
      </c>
      <c r="C1163" s="5">
        <v>44516</v>
      </c>
      <c r="D1163" t="s">
        <v>41</v>
      </c>
      <c r="E1163" t="s">
        <v>512</v>
      </c>
      <c r="F1163" t="s">
        <v>368</v>
      </c>
      <c r="G1163" s="6">
        <v>28</v>
      </c>
      <c r="H1163" s="7">
        <v>0.62</v>
      </c>
      <c r="I1163" s="7">
        <v>17.36</v>
      </c>
    </row>
    <row r="1164" spans="1:9" hidden="1" x14ac:dyDescent="0.2">
      <c r="A1164" t="s">
        <v>18</v>
      </c>
      <c r="B1164" s="4" t="s">
        <v>575</v>
      </c>
      <c r="C1164" s="5">
        <v>44516</v>
      </c>
      <c r="D1164" t="s">
        <v>41</v>
      </c>
      <c r="E1164" t="s">
        <v>484</v>
      </c>
      <c r="F1164" t="s">
        <v>368</v>
      </c>
      <c r="G1164" s="6">
        <v>48</v>
      </c>
      <c r="H1164" s="7">
        <v>0.64</v>
      </c>
      <c r="I1164" s="7">
        <v>30.72</v>
      </c>
    </row>
    <row r="1165" spans="1:9" hidden="1" x14ac:dyDescent="0.2">
      <c r="A1165" t="s">
        <v>18</v>
      </c>
      <c r="B1165" s="4" t="s">
        <v>576</v>
      </c>
      <c r="C1165" s="5">
        <v>44508</v>
      </c>
      <c r="D1165" t="s">
        <v>41</v>
      </c>
      <c r="E1165" t="s">
        <v>509</v>
      </c>
      <c r="F1165" t="s">
        <v>368</v>
      </c>
      <c r="G1165" s="6">
        <v>34</v>
      </c>
      <c r="H1165" s="7">
        <v>0.52</v>
      </c>
      <c r="I1165" s="7">
        <v>17.68</v>
      </c>
    </row>
    <row r="1166" spans="1:9" hidden="1" x14ac:dyDescent="0.2">
      <c r="A1166" t="s">
        <v>18</v>
      </c>
      <c r="B1166" s="4" t="s">
        <v>577</v>
      </c>
      <c r="C1166" s="5">
        <v>44503</v>
      </c>
      <c r="D1166" t="s">
        <v>81</v>
      </c>
      <c r="E1166" t="s">
        <v>289</v>
      </c>
      <c r="F1166" t="s">
        <v>368</v>
      </c>
      <c r="G1166" s="6">
        <v>500</v>
      </c>
      <c r="H1166" s="7">
        <v>17.329999999999998</v>
      </c>
      <c r="I1166" s="7">
        <v>8665</v>
      </c>
    </row>
    <row r="1167" spans="1:9" hidden="1" x14ac:dyDescent="0.2">
      <c r="A1167" t="s">
        <v>18</v>
      </c>
      <c r="B1167" s="4" t="s">
        <v>578</v>
      </c>
      <c r="C1167" s="5">
        <v>44501</v>
      </c>
      <c r="D1167" t="s">
        <v>35</v>
      </c>
      <c r="E1167" t="s">
        <v>123</v>
      </c>
      <c r="F1167" t="s">
        <v>368</v>
      </c>
      <c r="G1167" s="6">
        <v>300</v>
      </c>
      <c r="H1167" s="7">
        <v>0.01</v>
      </c>
      <c r="I1167" s="7">
        <v>4.5</v>
      </c>
    </row>
    <row r="1168" spans="1:9" hidden="1" x14ac:dyDescent="0.2">
      <c r="A1168" t="s">
        <v>18</v>
      </c>
      <c r="B1168" s="4" t="s">
        <v>579</v>
      </c>
      <c r="C1168" s="5">
        <v>44494</v>
      </c>
      <c r="D1168" t="s">
        <v>41</v>
      </c>
      <c r="E1168" t="s">
        <v>486</v>
      </c>
      <c r="F1168" t="s">
        <v>368</v>
      </c>
      <c r="G1168" s="6">
        <v>28</v>
      </c>
      <c r="H1168" s="7">
        <v>0.56999999999999995</v>
      </c>
      <c r="I1168" s="7">
        <v>15.96</v>
      </c>
    </row>
    <row r="1169" spans="1:9" hidden="1" x14ac:dyDescent="0.2">
      <c r="A1169" t="s">
        <v>18</v>
      </c>
      <c r="B1169" s="4" t="s">
        <v>580</v>
      </c>
      <c r="C1169" s="5">
        <v>44491</v>
      </c>
      <c r="D1169" t="s">
        <v>81</v>
      </c>
      <c r="E1169" t="s">
        <v>63</v>
      </c>
      <c r="F1169" t="s">
        <v>368</v>
      </c>
      <c r="G1169" s="6">
        <v>100</v>
      </c>
      <c r="H1169" s="7">
        <v>12.87</v>
      </c>
      <c r="I1169" s="7">
        <v>1287</v>
      </c>
    </row>
    <row r="1170" spans="1:9" hidden="1" x14ac:dyDescent="0.2">
      <c r="A1170" t="s">
        <v>18</v>
      </c>
      <c r="B1170" s="4" t="s">
        <v>580</v>
      </c>
      <c r="C1170" s="5">
        <v>44491</v>
      </c>
      <c r="D1170" t="s">
        <v>81</v>
      </c>
      <c r="E1170" t="s">
        <v>152</v>
      </c>
      <c r="F1170" t="s">
        <v>368</v>
      </c>
      <c r="G1170" s="6">
        <v>100</v>
      </c>
      <c r="H1170" s="7">
        <v>17.02</v>
      </c>
      <c r="I1170" s="7">
        <v>1702</v>
      </c>
    </row>
    <row r="1171" spans="1:9" hidden="1" x14ac:dyDescent="0.2">
      <c r="A1171" t="s">
        <v>18</v>
      </c>
      <c r="B1171" s="4" t="s">
        <v>580</v>
      </c>
      <c r="C1171" s="5">
        <v>44491</v>
      </c>
      <c r="D1171" t="s">
        <v>81</v>
      </c>
      <c r="E1171" t="s">
        <v>57</v>
      </c>
      <c r="F1171" t="s">
        <v>368</v>
      </c>
      <c r="G1171" s="6">
        <v>100</v>
      </c>
      <c r="H1171" s="7">
        <v>20.83</v>
      </c>
      <c r="I1171" s="7">
        <v>2083</v>
      </c>
    </row>
    <row r="1172" spans="1:9" hidden="1" x14ac:dyDescent="0.2">
      <c r="A1172" t="s">
        <v>18</v>
      </c>
      <c r="B1172" s="4" t="s">
        <v>580</v>
      </c>
      <c r="C1172" s="5">
        <v>44491</v>
      </c>
      <c r="D1172" t="s">
        <v>81</v>
      </c>
      <c r="E1172" t="s">
        <v>172</v>
      </c>
      <c r="F1172" t="s">
        <v>368</v>
      </c>
      <c r="G1172" s="6">
        <v>100</v>
      </c>
      <c r="H1172" s="7">
        <v>13.77</v>
      </c>
      <c r="I1172" s="7">
        <v>1377</v>
      </c>
    </row>
    <row r="1173" spans="1:9" hidden="1" x14ac:dyDescent="0.2">
      <c r="A1173" t="s">
        <v>18</v>
      </c>
      <c r="B1173" s="4" t="s">
        <v>581</v>
      </c>
      <c r="C1173" s="5">
        <v>44489</v>
      </c>
      <c r="D1173" t="s">
        <v>41</v>
      </c>
      <c r="E1173" t="s">
        <v>328</v>
      </c>
      <c r="F1173" t="s">
        <v>368</v>
      </c>
      <c r="G1173" s="6">
        <v>62</v>
      </c>
      <c r="H1173" s="7">
        <v>1</v>
      </c>
      <c r="I1173" s="7">
        <v>62</v>
      </c>
    </row>
    <row r="1174" spans="1:9" hidden="1" x14ac:dyDescent="0.2">
      <c r="A1174" t="s">
        <v>18</v>
      </c>
      <c r="B1174" s="4" t="s">
        <v>582</v>
      </c>
      <c r="C1174" s="5">
        <v>44488</v>
      </c>
      <c r="D1174" t="s">
        <v>41</v>
      </c>
      <c r="E1174" t="s">
        <v>331</v>
      </c>
      <c r="F1174" t="s">
        <v>368</v>
      </c>
      <c r="G1174" s="6">
        <v>57</v>
      </c>
      <c r="H1174" s="7">
        <v>1.05</v>
      </c>
      <c r="I1174" s="7">
        <v>60.11</v>
      </c>
    </row>
    <row r="1175" spans="1:9" hidden="1" x14ac:dyDescent="0.2">
      <c r="A1175" t="s">
        <v>8</v>
      </c>
      <c r="B1175" s="4" t="s">
        <v>583</v>
      </c>
      <c r="C1175" s="5">
        <v>44487</v>
      </c>
      <c r="D1175" t="s">
        <v>93</v>
      </c>
      <c r="E1175" t="s">
        <v>361</v>
      </c>
      <c r="F1175" t="s">
        <v>368</v>
      </c>
      <c r="G1175" s="6">
        <v>0</v>
      </c>
      <c r="H1175" s="7" t="s">
        <v>17</v>
      </c>
      <c r="I1175" s="7" t="s">
        <v>17</v>
      </c>
    </row>
    <row r="1176" spans="1:9" hidden="1" x14ac:dyDescent="0.2">
      <c r="A1176" t="s">
        <v>18</v>
      </c>
      <c r="B1176" s="4" t="s">
        <v>584</v>
      </c>
      <c r="C1176" s="5">
        <v>44484</v>
      </c>
      <c r="D1176" t="s">
        <v>41</v>
      </c>
      <c r="E1176" t="s">
        <v>284</v>
      </c>
      <c r="F1176" t="s">
        <v>368</v>
      </c>
      <c r="G1176" s="6">
        <v>22</v>
      </c>
      <c r="H1176" s="7">
        <v>1.1000000000000001</v>
      </c>
      <c r="I1176" s="7">
        <v>24.2</v>
      </c>
    </row>
    <row r="1177" spans="1:9" hidden="1" x14ac:dyDescent="0.2">
      <c r="A1177" t="s">
        <v>18</v>
      </c>
      <c r="B1177" s="4" t="s">
        <v>584</v>
      </c>
      <c r="C1177" s="5">
        <v>44484</v>
      </c>
      <c r="D1177" t="s">
        <v>41</v>
      </c>
      <c r="E1177" t="s">
        <v>296</v>
      </c>
      <c r="F1177" t="s">
        <v>368</v>
      </c>
      <c r="G1177" s="6">
        <v>49</v>
      </c>
      <c r="H1177" s="7">
        <v>0.72</v>
      </c>
      <c r="I1177" s="7">
        <v>35.28</v>
      </c>
    </row>
    <row r="1178" spans="1:9" hidden="1" x14ac:dyDescent="0.2">
      <c r="A1178" t="s">
        <v>18</v>
      </c>
      <c r="B1178" s="4" t="s">
        <v>584</v>
      </c>
      <c r="C1178" s="5">
        <v>44484</v>
      </c>
      <c r="D1178" t="s">
        <v>41</v>
      </c>
      <c r="E1178" t="s">
        <v>510</v>
      </c>
      <c r="F1178" t="s">
        <v>368</v>
      </c>
      <c r="G1178" s="6">
        <v>10</v>
      </c>
      <c r="H1178" s="7">
        <v>0.77</v>
      </c>
      <c r="I1178" s="7">
        <v>7.7</v>
      </c>
    </row>
    <row r="1179" spans="1:9" hidden="1" x14ac:dyDescent="0.2">
      <c r="A1179" t="s">
        <v>18</v>
      </c>
      <c r="B1179" s="4" t="s">
        <v>584</v>
      </c>
      <c r="C1179" s="5">
        <v>44484</v>
      </c>
      <c r="D1179" t="s">
        <v>41</v>
      </c>
      <c r="E1179" t="s">
        <v>297</v>
      </c>
      <c r="F1179" t="s">
        <v>368</v>
      </c>
      <c r="G1179" s="6">
        <v>61</v>
      </c>
      <c r="H1179" s="7">
        <v>0.56999999999999995</v>
      </c>
      <c r="I1179" s="7">
        <v>34.770000000000003</v>
      </c>
    </row>
    <row r="1180" spans="1:9" hidden="1" x14ac:dyDescent="0.2">
      <c r="A1180" t="s">
        <v>18</v>
      </c>
      <c r="B1180" s="4" t="s">
        <v>584</v>
      </c>
      <c r="C1180" s="5">
        <v>44484</v>
      </c>
      <c r="D1180" t="s">
        <v>41</v>
      </c>
      <c r="E1180" t="s">
        <v>329</v>
      </c>
      <c r="F1180" t="s">
        <v>368</v>
      </c>
      <c r="G1180" s="6">
        <v>48</v>
      </c>
      <c r="H1180" s="7">
        <v>0.45</v>
      </c>
      <c r="I1180" s="7">
        <v>21.6</v>
      </c>
    </row>
    <row r="1181" spans="1:9" hidden="1" x14ac:dyDescent="0.2">
      <c r="A1181" t="s">
        <v>18</v>
      </c>
      <c r="B1181" s="4" t="s">
        <v>584</v>
      </c>
      <c r="C1181" s="5">
        <v>44484</v>
      </c>
      <c r="D1181" t="s">
        <v>41</v>
      </c>
      <c r="E1181" t="s">
        <v>511</v>
      </c>
      <c r="F1181" t="s">
        <v>368</v>
      </c>
      <c r="G1181" s="6">
        <v>25</v>
      </c>
      <c r="H1181" s="7">
        <v>0.64</v>
      </c>
      <c r="I1181" s="7">
        <v>16</v>
      </c>
    </row>
    <row r="1182" spans="1:9" hidden="1" x14ac:dyDescent="0.2">
      <c r="A1182" t="s">
        <v>18</v>
      </c>
      <c r="B1182" s="4" t="s">
        <v>584</v>
      </c>
      <c r="C1182" s="5">
        <v>44484</v>
      </c>
      <c r="D1182" t="s">
        <v>41</v>
      </c>
      <c r="E1182" t="s">
        <v>512</v>
      </c>
      <c r="F1182" t="s">
        <v>368</v>
      </c>
      <c r="G1182" s="6">
        <v>28</v>
      </c>
      <c r="H1182" s="7">
        <v>0.57999999999999996</v>
      </c>
      <c r="I1182" s="7">
        <v>16.239999999999998</v>
      </c>
    </row>
    <row r="1183" spans="1:9" hidden="1" x14ac:dyDescent="0.2">
      <c r="A1183" t="s">
        <v>18</v>
      </c>
      <c r="B1183" s="4" t="s">
        <v>584</v>
      </c>
      <c r="C1183" s="5">
        <v>44484</v>
      </c>
      <c r="D1183" t="s">
        <v>41</v>
      </c>
      <c r="E1183" t="s">
        <v>484</v>
      </c>
      <c r="F1183" t="s">
        <v>368</v>
      </c>
      <c r="G1183" s="6">
        <v>48</v>
      </c>
      <c r="H1183" s="7">
        <v>0.62</v>
      </c>
      <c r="I1183" s="7">
        <v>29.76</v>
      </c>
    </row>
    <row r="1184" spans="1:9" hidden="1" x14ac:dyDescent="0.2">
      <c r="A1184" t="s">
        <v>18</v>
      </c>
      <c r="B1184" s="4" t="s">
        <v>585</v>
      </c>
      <c r="C1184" s="5">
        <v>44476</v>
      </c>
      <c r="D1184" t="s">
        <v>35</v>
      </c>
      <c r="E1184" t="s">
        <v>63</v>
      </c>
      <c r="F1184" t="s">
        <v>368</v>
      </c>
      <c r="G1184" s="6">
        <v>400</v>
      </c>
      <c r="H1184" s="7">
        <v>0.15</v>
      </c>
      <c r="I1184" s="7">
        <v>60.15</v>
      </c>
    </row>
    <row r="1185" spans="1:9" hidden="1" x14ac:dyDescent="0.2">
      <c r="A1185" t="s">
        <v>18</v>
      </c>
      <c r="B1185" s="4" t="s">
        <v>585</v>
      </c>
      <c r="C1185" s="5">
        <v>44476</v>
      </c>
      <c r="D1185" t="s">
        <v>24</v>
      </c>
      <c r="E1185" t="s">
        <v>63</v>
      </c>
      <c r="F1185" t="s">
        <v>368</v>
      </c>
      <c r="G1185" s="6">
        <v>400</v>
      </c>
      <c r="H1185" s="7">
        <v>0.04</v>
      </c>
      <c r="I1185" s="7">
        <v>15.03</v>
      </c>
    </row>
    <row r="1186" spans="1:9" hidden="1" x14ac:dyDescent="0.2">
      <c r="A1186" t="s">
        <v>18</v>
      </c>
      <c r="B1186" s="4" t="s">
        <v>585</v>
      </c>
      <c r="C1186" s="5">
        <v>44476</v>
      </c>
      <c r="D1186" t="s">
        <v>41</v>
      </c>
      <c r="E1186" t="s">
        <v>509</v>
      </c>
      <c r="F1186" t="s">
        <v>368</v>
      </c>
      <c r="G1186" s="6">
        <v>34</v>
      </c>
      <c r="H1186" s="7">
        <v>0.52</v>
      </c>
      <c r="I1186" s="7">
        <v>17.68</v>
      </c>
    </row>
    <row r="1187" spans="1:9" hidden="1" x14ac:dyDescent="0.2">
      <c r="A1187" t="s">
        <v>18</v>
      </c>
      <c r="B1187" s="4" t="s">
        <v>586</v>
      </c>
      <c r="C1187" s="5">
        <v>44475</v>
      </c>
      <c r="D1187" t="s">
        <v>24</v>
      </c>
      <c r="E1187" t="s">
        <v>571</v>
      </c>
      <c r="F1187" t="s">
        <v>368</v>
      </c>
      <c r="G1187" s="6">
        <v>200</v>
      </c>
      <c r="H1187" s="7">
        <v>0.02</v>
      </c>
      <c r="I1187" s="7">
        <v>4.4000000000000004</v>
      </c>
    </row>
    <row r="1188" spans="1:9" hidden="1" x14ac:dyDescent="0.2">
      <c r="A1188" t="s">
        <v>18</v>
      </c>
      <c r="B1188" s="4" t="s">
        <v>587</v>
      </c>
      <c r="C1188" s="5">
        <v>44474</v>
      </c>
      <c r="D1188" t="s">
        <v>588</v>
      </c>
      <c r="E1188" t="s">
        <v>123</v>
      </c>
      <c r="F1188" t="s">
        <v>368</v>
      </c>
      <c r="G1188" s="6">
        <v>300</v>
      </c>
      <c r="H1188" s="7" t="s">
        <v>17</v>
      </c>
      <c r="I1188" s="7" t="s">
        <v>17</v>
      </c>
    </row>
    <row r="1189" spans="1:9" hidden="1" x14ac:dyDescent="0.2">
      <c r="A1189" t="s">
        <v>18</v>
      </c>
      <c r="B1189" s="4" t="s">
        <v>587</v>
      </c>
      <c r="C1189" s="5">
        <v>44474</v>
      </c>
      <c r="D1189" t="s">
        <v>588</v>
      </c>
      <c r="E1189" t="s">
        <v>589</v>
      </c>
      <c r="F1189" t="s">
        <v>368</v>
      </c>
      <c r="G1189" s="6">
        <v>300</v>
      </c>
      <c r="H1189" s="7" t="s">
        <v>17</v>
      </c>
      <c r="I1189" s="7" t="s">
        <v>17</v>
      </c>
    </row>
    <row r="1190" spans="1:9" hidden="1" x14ac:dyDescent="0.2">
      <c r="A1190" t="s">
        <v>18</v>
      </c>
      <c r="B1190" s="4" t="s">
        <v>587</v>
      </c>
      <c r="C1190" s="5">
        <v>44474</v>
      </c>
      <c r="D1190" t="s">
        <v>590</v>
      </c>
      <c r="E1190" t="s">
        <v>361</v>
      </c>
      <c r="F1190" t="s">
        <v>368</v>
      </c>
      <c r="G1190" s="6">
        <v>6.92</v>
      </c>
      <c r="H1190" s="7" t="s">
        <v>17</v>
      </c>
      <c r="I1190" s="7" t="s">
        <v>17</v>
      </c>
    </row>
    <row r="1191" spans="1:9" hidden="1" x14ac:dyDescent="0.2">
      <c r="A1191" t="s">
        <v>18</v>
      </c>
      <c r="B1191" s="4" t="s">
        <v>591</v>
      </c>
      <c r="C1191" s="5">
        <v>44470</v>
      </c>
      <c r="D1191" t="s">
        <v>35</v>
      </c>
      <c r="E1191" t="s">
        <v>476</v>
      </c>
      <c r="F1191" t="s">
        <v>368</v>
      </c>
      <c r="G1191" s="6">
        <v>300</v>
      </c>
      <c r="H1191" s="7">
        <v>0.02</v>
      </c>
      <c r="I1191" s="7">
        <v>6</v>
      </c>
    </row>
    <row r="1192" spans="1:9" hidden="1" x14ac:dyDescent="0.2">
      <c r="A1192" t="s">
        <v>18</v>
      </c>
      <c r="B1192" s="4" t="s">
        <v>591</v>
      </c>
      <c r="C1192" s="5">
        <v>44470</v>
      </c>
      <c r="D1192" t="s">
        <v>35</v>
      </c>
      <c r="E1192" t="s">
        <v>123</v>
      </c>
      <c r="F1192" t="s">
        <v>368</v>
      </c>
      <c r="G1192" s="6">
        <v>300</v>
      </c>
      <c r="H1192" s="7">
        <v>0.01</v>
      </c>
      <c r="I1192" s="7">
        <v>4.5</v>
      </c>
    </row>
    <row r="1193" spans="1:9" hidden="1" x14ac:dyDescent="0.2">
      <c r="A1193" t="s">
        <v>18</v>
      </c>
      <c r="B1193" s="4" t="s">
        <v>592</v>
      </c>
      <c r="C1193" s="5">
        <v>44469</v>
      </c>
      <c r="D1193" t="s">
        <v>24</v>
      </c>
      <c r="E1193" t="s">
        <v>350</v>
      </c>
      <c r="F1193" t="s">
        <v>368</v>
      </c>
      <c r="G1193" s="6">
        <v>200</v>
      </c>
      <c r="H1193" s="7">
        <v>0.05</v>
      </c>
      <c r="I1193" s="7">
        <v>8.5</v>
      </c>
    </row>
    <row r="1194" spans="1:9" hidden="1" x14ac:dyDescent="0.2">
      <c r="A1194" t="s">
        <v>18</v>
      </c>
      <c r="B1194" s="4" t="s">
        <v>592</v>
      </c>
      <c r="C1194" s="5">
        <v>44469</v>
      </c>
      <c r="D1194" t="s">
        <v>35</v>
      </c>
      <c r="E1194" t="s">
        <v>76</v>
      </c>
      <c r="F1194" t="s">
        <v>368</v>
      </c>
      <c r="G1194" s="6">
        <v>100</v>
      </c>
      <c r="H1194" s="7">
        <v>8.19</v>
      </c>
      <c r="I1194" s="7">
        <v>819.72</v>
      </c>
    </row>
    <row r="1195" spans="1:9" hidden="1" x14ac:dyDescent="0.2">
      <c r="A1195" t="s">
        <v>18</v>
      </c>
      <c r="B1195" s="4" t="s">
        <v>593</v>
      </c>
      <c r="C1195" s="5">
        <v>44463</v>
      </c>
      <c r="D1195" t="s">
        <v>81</v>
      </c>
      <c r="E1195" t="s">
        <v>63</v>
      </c>
      <c r="F1195" t="s">
        <v>368</v>
      </c>
      <c r="G1195" s="6">
        <v>100</v>
      </c>
      <c r="H1195" s="7">
        <v>13.64</v>
      </c>
      <c r="I1195" s="7">
        <v>1364</v>
      </c>
    </row>
    <row r="1196" spans="1:9" hidden="1" x14ac:dyDescent="0.2">
      <c r="A1196" t="s">
        <v>18</v>
      </c>
      <c r="B1196" s="4" t="s">
        <v>593</v>
      </c>
      <c r="C1196" s="5">
        <v>44463</v>
      </c>
      <c r="D1196" t="s">
        <v>81</v>
      </c>
      <c r="E1196" t="s">
        <v>39</v>
      </c>
      <c r="F1196" t="s">
        <v>368</v>
      </c>
      <c r="G1196" s="6">
        <v>200</v>
      </c>
      <c r="H1196" s="7">
        <v>19.350000000000001</v>
      </c>
      <c r="I1196" s="7">
        <v>3870</v>
      </c>
    </row>
    <row r="1197" spans="1:9" hidden="1" x14ac:dyDescent="0.2">
      <c r="A1197" t="s">
        <v>18</v>
      </c>
      <c r="B1197" s="4" t="s">
        <v>593</v>
      </c>
      <c r="C1197" s="5">
        <v>44463</v>
      </c>
      <c r="D1197" t="s">
        <v>81</v>
      </c>
      <c r="E1197" t="s">
        <v>284</v>
      </c>
      <c r="F1197" t="s">
        <v>368</v>
      </c>
      <c r="G1197" s="6">
        <v>5</v>
      </c>
      <c r="H1197" s="7">
        <v>162.49</v>
      </c>
      <c r="I1197" s="7">
        <v>812.45</v>
      </c>
    </row>
    <row r="1198" spans="1:9" hidden="1" x14ac:dyDescent="0.2">
      <c r="A1198" t="s">
        <v>18</v>
      </c>
      <c r="B1198" s="4" t="s">
        <v>593</v>
      </c>
      <c r="C1198" s="5">
        <v>44463</v>
      </c>
      <c r="D1198" t="s">
        <v>81</v>
      </c>
      <c r="E1198" t="s">
        <v>296</v>
      </c>
      <c r="F1198" t="s">
        <v>368</v>
      </c>
      <c r="G1198" s="6">
        <v>9</v>
      </c>
      <c r="H1198" s="7">
        <v>113</v>
      </c>
      <c r="I1198" s="7">
        <v>1017</v>
      </c>
    </row>
    <row r="1199" spans="1:9" hidden="1" x14ac:dyDescent="0.2">
      <c r="A1199" t="s">
        <v>18</v>
      </c>
      <c r="B1199" s="4" t="s">
        <v>593</v>
      </c>
      <c r="C1199" s="5">
        <v>44463</v>
      </c>
      <c r="D1199" t="s">
        <v>81</v>
      </c>
      <c r="E1199" t="s">
        <v>331</v>
      </c>
      <c r="F1199" t="s">
        <v>368</v>
      </c>
      <c r="G1199" s="6">
        <v>7</v>
      </c>
      <c r="H1199" s="7">
        <v>110.56</v>
      </c>
      <c r="I1199" s="7">
        <v>773.92</v>
      </c>
    </row>
    <row r="1200" spans="1:9" hidden="1" x14ac:dyDescent="0.2">
      <c r="A1200" t="s">
        <v>18</v>
      </c>
      <c r="B1200" s="4" t="s">
        <v>593</v>
      </c>
      <c r="C1200" s="5">
        <v>44463</v>
      </c>
      <c r="D1200" t="s">
        <v>81</v>
      </c>
      <c r="E1200" t="s">
        <v>297</v>
      </c>
      <c r="F1200" t="s">
        <v>368</v>
      </c>
      <c r="G1200" s="6">
        <v>16</v>
      </c>
      <c r="H1200" s="7">
        <v>95.59</v>
      </c>
      <c r="I1200" s="7">
        <v>1529.44</v>
      </c>
    </row>
    <row r="1201" spans="1:9" hidden="1" x14ac:dyDescent="0.2">
      <c r="A1201" t="s">
        <v>18</v>
      </c>
      <c r="B1201" s="4" t="s">
        <v>593</v>
      </c>
      <c r="C1201" s="5">
        <v>44463</v>
      </c>
      <c r="D1201" t="s">
        <v>81</v>
      </c>
      <c r="E1201" t="s">
        <v>328</v>
      </c>
      <c r="F1201" t="s">
        <v>368</v>
      </c>
      <c r="G1201" s="6">
        <v>10</v>
      </c>
      <c r="H1201" s="7">
        <v>101.4</v>
      </c>
      <c r="I1201" s="7">
        <v>1014</v>
      </c>
    </row>
    <row r="1202" spans="1:9" hidden="1" x14ac:dyDescent="0.2">
      <c r="A1202" t="s">
        <v>18</v>
      </c>
      <c r="B1202" s="4" t="s">
        <v>593</v>
      </c>
      <c r="C1202" s="5">
        <v>44463</v>
      </c>
      <c r="D1202" t="s">
        <v>81</v>
      </c>
      <c r="E1202" t="s">
        <v>484</v>
      </c>
      <c r="F1202" t="s">
        <v>368</v>
      </c>
      <c r="G1202" s="6">
        <v>20</v>
      </c>
      <c r="H1202" s="7">
        <v>100.33</v>
      </c>
      <c r="I1202" s="7">
        <v>2006.6</v>
      </c>
    </row>
    <row r="1203" spans="1:9" hidden="1" x14ac:dyDescent="0.2">
      <c r="A1203" t="s">
        <v>18</v>
      </c>
      <c r="B1203" s="4" t="s">
        <v>593</v>
      </c>
      <c r="C1203" s="5">
        <v>44463</v>
      </c>
      <c r="D1203" t="s">
        <v>41</v>
      </c>
      <c r="E1203" t="s">
        <v>486</v>
      </c>
      <c r="F1203" t="s">
        <v>368</v>
      </c>
      <c r="G1203" s="6">
        <v>28</v>
      </c>
      <c r="H1203" s="7">
        <v>0.56999999999999995</v>
      </c>
      <c r="I1203" s="7">
        <v>15.96</v>
      </c>
    </row>
    <row r="1204" spans="1:9" hidden="1" x14ac:dyDescent="0.2">
      <c r="A1204" t="s">
        <v>18</v>
      </c>
      <c r="B1204" s="4" t="s">
        <v>594</v>
      </c>
      <c r="C1204" s="5">
        <v>44459</v>
      </c>
      <c r="D1204" t="s">
        <v>41</v>
      </c>
      <c r="E1204" t="s">
        <v>328</v>
      </c>
      <c r="F1204" t="s">
        <v>368</v>
      </c>
      <c r="G1204" s="6">
        <v>52</v>
      </c>
      <c r="H1204" s="7">
        <v>1</v>
      </c>
      <c r="I1204" s="7">
        <v>52</v>
      </c>
    </row>
    <row r="1205" spans="1:9" hidden="1" x14ac:dyDescent="0.2">
      <c r="A1205" t="s">
        <v>18</v>
      </c>
      <c r="B1205" s="4" t="s">
        <v>595</v>
      </c>
      <c r="C1205" s="5">
        <v>44456</v>
      </c>
      <c r="D1205" t="s">
        <v>41</v>
      </c>
      <c r="E1205" t="s">
        <v>331</v>
      </c>
      <c r="F1205" t="s">
        <v>368</v>
      </c>
      <c r="G1205" s="6">
        <v>41</v>
      </c>
      <c r="H1205" s="7">
        <v>1.1299999999999999</v>
      </c>
      <c r="I1205" s="7">
        <v>46.4</v>
      </c>
    </row>
    <row r="1206" spans="1:9" hidden="1" x14ac:dyDescent="0.2">
      <c r="A1206" t="s">
        <v>18</v>
      </c>
      <c r="B1206" s="4" t="s">
        <v>595</v>
      </c>
      <c r="C1206" s="5">
        <v>44456</v>
      </c>
      <c r="D1206" t="s">
        <v>41</v>
      </c>
      <c r="E1206" t="s">
        <v>596</v>
      </c>
      <c r="F1206" t="s">
        <v>368</v>
      </c>
      <c r="G1206" s="6">
        <v>9</v>
      </c>
      <c r="H1206" s="7">
        <v>0.27</v>
      </c>
      <c r="I1206" s="7">
        <v>2.44</v>
      </c>
    </row>
    <row r="1207" spans="1:9" hidden="1" x14ac:dyDescent="0.2">
      <c r="A1207" s="1" t="s">
        <v>18</v>
      </c>
      <c r="B1207" s="8" t="s">
        <v>597</v>
      </c>
      <c r="C1207" s="9">
        <v>44455</v>
      </c>
      <c r="D1207" s="1" t="s">
        <v>31</v>
      </c>
      <c r="E1207" s="1" t="s">
        <v>331</v>
      </c>
      <c r="F1207" s="1" t="s">
        <v>368</v>
      </c>
      <c r="G1207" s="10">
        <v>9</v>
      </c>
      <c r="H1207" s="11" t="s">
        <v>17</v>
      </c>
      <c r="I1207" s="11" t="s">
        <v>17</v>
      </c>
    </row>
    <row r="1208" spans="1:9" hidden="1" x14ac:dyDescent="0.2">
      <c r="A1208" t="s">
        <v>18</v>
      </c>
      <c r="B1208" s="4" t="s">
        <v>598</v>
      </c>
      <c r="C1208" s="5">
        <v>44454</v>
      </c>
      <c r="D1208" t="s">
        <v>41</v>
      </c>
      <c r="E1208" t="s">
        <v>284</v>
      </c>
      <c r="F1208" t="s">
        <v>368</v>
      </c>
      <c r="G1208" s="6">
        <v>14</v>
      </c>
      <c r="H1208" s="7">
        <v>1.1000000000000001</v>
      </c>
      <c r="I1208" s="7">
        <v>15.4</v>
      </c>
    </row>
    <row r="1209" spans="1:9" hidden="1" x14ac:dyDescent="0.2">
      <c r="A1209" t="s">
        <v>18</v>
      </c>
      <c r="B1209" s="4" t="s">
        <v>598</v>
      </c>
      <c r="C1209" s="5">
        <v>44454</v>
      </c>
      <c r="D1209" t="s">
        <v>41</v>
      </c>
      <c r="E1209" t="s">
        <v>599</v>
      </c>
      <c r="F1209" t="s">
        <v>368</v>
      </c>
      <c r="G1209" s="6">
        <v>3</v>
      </c>
      <c r="H1209" s="7">
        <v>0.32</v>
      </c>
      <c r="I1209" s="7">
        <v>0.96</v>
      </c>
    </row>
    <row r="1210" spans="1:9" hidden="1" x14ac:dyDescent="0.2">
      <c r="A1210" t="s">
        <v>18</v>
      </c>
      <c r="B1210" s="4" t="s">
        <v>598</v>
      </c>
      <c r="C1210" s="5">
        <v>44454</v>
      </c>
      <c r="D1210" t="s">
        <v>41</v>
      </c>
      <c r="E1210" t="s">
        <v>296</v>
      </c>
      <c r="F1210" t="s">
        <v>368</v>
      </c>
      <c r="G1210" s="6">
        <v>40</v>
      </c>
      <c r="H1210" s="7">
        <v>0.72</v>
      </c>
      <c r="I1210" s="7">
        <v>28.8</v>
      </c>
    </row>
    <row r="1211" spans="1:9" hidden="1" x14ac:dyDescent="0.2">
      <c r="A1211" t="s">
        <v>18</v>
      </c>
      <c r="B1211" s="4" t="s">
        <v>598</v>
      </c>
      <c r="C1211" s="5">
        <v>44454</v>
      </c>
      <c r="D1211" t="s">
        <v>41</v>
      </c>
      <c r="E1211" t="s">
        <v>510</v>
      </c>
      <c r="F1211" t="s">
        <v>368</v>
      </c>
      <c r="G1211" s="6">
        <v>10</v>
      </c>
      <c r="H1211" s="7">
        <v>0.73</v>
      </c>
      <c r="I1211" s="7">
        <v>7.3</v>
      </c>
    </row>
    <row r="1212" spans="1:9" hidden="1" x14ac:dyDescent="0.2">
      <c r="A1212" t="s">
        <v>18</v>
      </c>
      <c r="B1212" s="4" t="s">
        <v>598</v>
      </c>
      <c r="C1212" s="5">
        <v>44454</v>
      </c>
      <c r="D1212" t="s">
        <v>41</v>
      </c>
      <c r="E1212" t="s">
        <v>297</v>
      </c>
      <c r="F1212" t="s">
        <v>368</v>
      </c>
      <c r="G1212" s="6">
        <v>45</v>
      </c>
      <c r="H1212" s="7">
        <v>0.55000000000000004</v>
      </c>
      <c r="I1212" s="7">
        <v>24.75</v>
      </c>
    </row>
    <row r="1213" spans="1:9" hidden="1" x14ac:dyDescent="0.2">
      <c r="A1213" t="s">
        <v>18</v>
      </c>
      <c r="B1213" s="4" t="s">
        <v>598</v>
      </c>
      <c r="C1213" s="5">
        <v>44454</v>
      </c>
      <c r="D1213" t="s">
        <v>41</v>
      </c>
      <c r="E1213" t="s">
        <v>329</v>
      </c>
      <c r="F1213" t="s">
        <v>368</v>
      </c>
      <c r="G1213" s="6">
        <v>48</v>
      </c>
      <c r="H1213" s="7">
        <v>0.43</v>
      </c>
      <c r="I1213" s="7">
        <v>20.64</v>
      </c>
    </row>
    <row r="1214" spans="1:9" hidden="1" x14ac:dyDescent="0.2">
      <c r="A1214" t="s">
        <v>18</v>
      </c>
      <c r="B1214" s="4" t="s">
        <v>598</v>
      </c>
      <c r="C1214" s="5">
        <v>44454</v>
      </c>
      <c r="D1214" t="s">
        <v>41</v>
      </c>
      <c r="E1214" t="s">
        <v>511</v>
      </c>
      <c r="F1214" t="s">
        <v>368</v>
      </c>
      <c r="G1214" s="6">
        <v>25</v>
      </c>
      <c r="H1214" s="7">
        <v>0.63</v>
      </c>
      <c r="I1214" s="7">
        <v>15.75</v>
      </c>
    </row>
    <row r="1215" spans="1:9" hidden="1" x14ac:dyDescent="0.2">
      <c r="A1215" t="s">
        <v>18</v>
      </c>
      <c r="B1215" s="4" t="s">
        <v>598</v>
      </c>
      <c r="C1215" s="5">
        <v>44454</v>
      </c>
      <c r="D1215" t="s">
        <v>41</v>
      </c>
      <c r="E1215" t="s">
        <v>512</v>
      </c>
      <c r="F1215" t="s">
        <v>368</v>
      </c>
      <c r="G1215" s="6">
        <v>28</v>
      </c>
      <c r="H1215" s="7">
        <v>0.55000000000000004</v>
      </c>
      <c r="I1215" s="7">
        <v>15.4</v>
      </c>
    </row>
    <row r="1216" spans="1:9" hidden="1" x14ac:dyDescent="0.2">
      <c r="A1216" t="s">
        <v>18</v>
      </c>
      <c r="B1216" s="4" t="s">
        <v>598</v>
      </c>
      <c r="C1216" s="5">
        <v>44454</v>
      </c>
      <c r="D1216" t="s">
        <v>41</v>
      </c>
      <c r="E1216" t="s">
        <v>484</v>
      </c>
      <c r="F1216" t="s">
        <v>368</v>
      </c>
      <c r="G1216" s="6">
        <v>28</v>
      </c>
      <c r="H1216" s="7">
        <v>0.62</v>
      </c>
      <c r="I1216" s="7">
        <v>17.36</v>
      </c>
    </row>
    <row r="1217" spans="1:9" hidden="1" x14ac:dyDescent="0.2">
      <c r="A1217" t="s">
        <v>18</v>
      </c>
      <c r="B1217" s="4" t="s">
        <v>600</v>
      </c>
      <c r="C1217" s="5">
        <v>44447</v>
      </c>
      <c r="D1217" t="s">
        <v>41</v>
      </c>
      <c r="E1217" t="s">
        <v>509</v>
      </c>
      <c r="F1217" t="s">
        <v>368</v>
      </c>
      <c r="G1217" s="6">
        <v>34</v>
      </c>
      <c r="H1217" s="7">
        <v>0.5</v>
      </c>
      <c r="I1217" s="7">
        <v>17</v>
      </c>
    </row>
    <row r="1218" spans="1:9" hidden="1" x14ac:dyDescent="0.2">
      <c r="A1218" s="1" t="s">
        <v>18</v>
      </c>
      <c r="B1218" s="8" t="s">
        <v>601</v>
      </c>
      <c r="C1218" s="9">
        <v>44441</v>
      </c>
      <c r="D1218" s="1" t="s">
        <v>31</v>
      </c>
      <c r="E1218" s="1" t="s">
        <v>284</v>
      </c>
      <c r="F1218" s="1" t="s">
        <v>368</v>
      </c>
      <c r="G1218" s="10">
        <v>3</v>
      </c>
      <c r="H1218" s="11" t="s">
        <v>17</v>
      </c>
      <c r="I1218" s="11" t="s">
        <v>17</v>
      </c>
    </row>
    <row r="1219" spans="1:9" hidden="1" x14ac:dyDescent="0.2">
      <c r="A1219" t="s">
        <v>18</v>
      </c>
      <c r="B1219" s="4" t="s">
        <v>602</v>
      </c>
      <c r="C1219" s="5">
        <v>44440</v>
      </c>
      <c r="D1219" t="s">
        <v>35</v>
      </c>
      <c r="E1219" t="s">
        <v>123</v>
      </c>
      <c r="F1219" t="s">
        <v>368</v>
      </c>
      <c r="G1219" s="6">
        <v>300</v>
      </c>
      <c r="H1219" s="7">
        <v>0.01</v>
      </c>
      <c r="I1219" s="7">
        <v>4.5</v>
      </c>
    </row>
    <row r="1220" spans="1:9" hidden="1" x14ac:dyDescent="0.2">
      <c r="A1220" t="s">
        <v>18</v>
      </c>
      <c r="B1220" s="4" t="s">
        <v>603</v>
      </c>
      <c r="C1220" s="5">
        <v>44434</v>
      </c>
      <c r="D1220" t="s">
        <v>81</v>
      </c>
      <c r="E1220" t="s">
        <v>152</v>
      </c>
      <c r="F1220" t="s">
        <v>368</v>
      </c>
      <c r="G1220" s="6">
        <v>200</v>
      </c>
      <c r="H1220" s="7">
        <v>19.510000000000002</v>
      </c>
      <c r="I1220" s="7">
        <v>3902</v>
      </c>
    </row>
    <row r="1221" spans="1:9" hidden="1" x14ac:dyDescent="0.2">
      <c r="A1221" t="s">
        <v>18</v>
      </c>
      <c r="B1221" s="4" t="s">
        <v>603</v>
      </c>
      <c r="C1221" s="5">
        <v>44434</v>
      </c>
      <c r="D1221" t="s">
        <v>24</v>
      </c>
      <c r="E1221" t="s">
        <v>476</v>
      </c>
      <c r="F1221" t="s">
        <v>368</v>
      </c>
      <c r="G1221" s="6">
        <v>300</v>
      </c>
      <c r="H1221" s="7">
        <v>0.01</v>
      </c>
      <c r="I1221" s="7">
        <v>4.7</v>
      </c>
    </row>
    <row r="1222" spans="1:9" hidden="1" x14ac:dyDescent="0.2">
      <c r="A1222" t="s">
        <v>18</v>
      </c>
      <c r="B1222" s="4" t="s">
        <v>603</v>
      </c>
      <c r="C1222" s="5">
        <v>44434</v>
      </c>
      <c r="D1222" t="s">
        <v>24</v>
      </c>
      <c r="E1222" t="s">
        <v>476</v>
      </c>
      <c r="F1222" t="s">
        <v>368</v>
      </c>
      <c r="G1222" s="6">
        <v>300</v>
      </c>
      <c r="H1222" s="7">
        <v>0.01</v>
      </c>
      <c r="I1222" s="7">
        <v>3.94</v>
      </c>
    </row>
    <row r="1223" spans="1:9" hidden="1" x14ac:dyDescent="0.2">
      <c r="A1223" t="s">
        <v>18</v>
      </c>
      <c r="B1223" s="4" t="s">
        <v>603</v>
      </c>
      <c r="C1223" s="5">
        <v>44434</v>
      </c>
      <c r="D1223" t="s">
        <v>24</v>
      </c>
      <c r="E1223" t="s">
        <v>476</v>
      </c>
      <c r="F1223" t="s">
        <v>368</v>
      </c>
      <c r="G1223" s="6">
        <v>300</v>
      </c>
      <c r="H1223" s="7">
        <v>0.02</v>
      </c>
      <c r="I1223" s="7">
        <v>5.44</v>
      </c>
    </row>
    <row r="1224" spans="1:9" hidden="1" x14ac:dyDescent="0.2">
      <c r="A1224" t="s">
        <v>18</v>
      </c>
      <c r="B1224" s="4" t="s">
        <v>603</v>
      </c>
      <c r="C1224" s="5">
        <v>44434</v>
      </c>
      <c r="D1224" t="s">
        <v>24</v>
      </c>
      <c r="E1224" t="s">
        <v>476</v>
      </c>
      <c r="F1224" t="s">
        <v>368</v>
      </c>
      <c r="G1224" s="6">
        <v>300</v>
      </c>
      <c r="H1224" s="7">
        <v>0.01</v>
      </c>
      <c r="I1224" s="7">
        <v>4.87</v>
      </c>
    </row>
    <row r="1225" spans="1:9" hidden="1" x14ac:dyDescent="0.2">
      <c r="A1225" t="s">
        <v>18</v>
      </c>
      <c r="B1225" s="4" t="s">
        <v>603</v>
      </c>
      <c r="C1225" s="5">
        <v>44434</v>
      </c>
      <c r="D1225" t="s">
        <v>24</v>
      </c>
      <c r="E1225" t="s">
        <v>476</v>
      </c>
      <c r="F1225" t="s">
        <v>368</v>
      </c>
      <c r="G1225" s="6">
        <v>300</v>
      </c>
      <c r="H1225" s="7">
        <v>0.03</v>
      </c>
      <c r="I1225" s="7">
        <v>9.52</v>
      </c>
    </row>
    <row r="1226" spans="1:9" hidden="1" x14ac:dyDescent="0.2">
      <c r="A1226" t="s">
        <v>18</v>
      </c>
      <c r="B1226" s="4" t="s">
        <v>603</v>
      </c>
      <c r="C1226" s="5">
        <v>44434</v>
      </c>
      <c r="D1226" t="s">
        <v>24</v>
      </c>
      <c r="E1226" t="s">
        <v>123</v>
      </c>
      <c r="F1226" t="s">
        <v>368</v>
      </c>
      <c r="G1226" s="6">
        <v>300</v>
      </c>
      <c r="H1226" s="7">
        <v>0.1</v>
      </c>
      <c r="I1226" s="7">
        <v>26.48</v>
      </c>
    </row>
    <row r="1227" spans="1:9" hidden="1" x14ac:dyDescent="0.2">
      <c r="A1227" t="s">
        <v>18</v>
      </c>
      <c r="B1227" s="4" t="s">
        <v>603</v>
      </c>
      <c r="C1227" s="5">
        <v>44434</v>
      </c>
      <c r="D1227" t="s">
        <v>24</v>
      </c>
      <c r="E1227" t="s">
        <v>123</v>
      </c>
      <c r="F1227" t="s">
        <v>368</v>
      </c>
      <c r="G1227" s="6">
        <v>300</v>
      </c>
      <c r="H1227" s="7">
        <v>0.05</v>
      </c>
      <c r="I1227" s="7">
        <v>14.4</v>
      </c>
    </row>
    <row r="1228" spans="1:9" hidden="1" x14ac:dyDescent="0.2">
      <c r="A1228" t="s">
        <v>18</v>
      </c>
      <c r="B1228" s="4" t="s">
        <v>603</v>
      </c>
      <c r="C1228" s="5">
        <v>44434</v>
      </c>
      <c r="D1228" t="s">
        <v>24</v>
      </c>
      <c r="E1228" t="s">
        <v>123</v>
      </c>
      <c r="F1228" t="s">
        <v>368</v>
      </c>
      <c r="G1228" s="6">
        <v>300</v>
      </c>
      <c r="H1228" s="7">
        <v>0.04</v>
      </c>
      <c r="I1228" s="7">
        <v>12.43</v>
      </c>
    </row>
    <row r="1229" spans="1:9" hidden="1" x14ac:dyDescent="0.2">
      <c r="A1229" t="s">
        <v>18</v>
      </c>
      <c r="B1229" s="4" t="s">
        <v>603</v>
      </c>
      <c r="C1229" s="5">
        <v>44434</v>
      </c>
      <c r="D1229" t="s">
        <v>24</v>
      </c>
      <c r="E1229" t="s">
        <v>123</v>
      </c>
      <c r="F1229" t="s">
        <v>368</v>
      </c>
      <c r="G1229" s="6">
        <v>300</v>
      </c>
      <c r="H1229" s="7">
        <v>0.05</v>
      </c>
      <c r="I1229" s="7">
        <v>12.92</v>
      </c>
    </row>
    <row r="1230" spans="1:9" hidden="1" x14ac:dyDescent="0.2">
      <c r="A1230" t="s">
        <v>18</v>
      </c>
      <c r="B1230" s="4" t="s">
        <v>603</v>
      </c>
      <c r="C1230" s="5">
        <v>44434</v>
      </c>
      <c r="D1230" t="s">
        <v>81</v>
      </c>
      <c r="E1230" t="s">
        <v>76</v>
      </c>
      <c r="F1230" t="s">
        <v>368</v>
      </c>
      <c r="G1230" s="6">
        <v>50</v>
      </c>
      <c r="H1230" s="7">
        <v>99.55</v>
      </c>
      <c r="I1230" s="7">
        <v>4977.5</v>
      </c>
    </row>
    <row r="1231" spans="1:9" hidden="1" x14ac:dyDescent="0.2">
      <c r="A1231" t="s">
        <v>18</v>
      </c>
      <c r="B1231" s="4" t="s">
        <v>604</v>
      </c>
      <c r="C1231" s="5">
        <v>44433</v>
      </c>
      <c r="D1231" t="s">
        <v>35</v>
      </c>
      <c r="E1231" t="s">
        <v>32</v>
      </c>
      <c r="F1231" t="s">
        <v>368</v>
      </c>
      <c r="G1231" s="6">
        <v>800</v>
      </c>
      <c r="H1231" s="7">
        <v>1.61</v>
      </c>
      <c r="I1231" s="7">
        <v>1287.92</v>
      </c>
    </row>
    <row r="1232" spans="1:9" hidden="1" x14ac:dyDescent="0.2">
      <c r="A1232" t="s">
        <v>18</v>
      </c>
      <c r="B1232" s="4" t="s">
        <v>604</v>
      </c>
      <c r="C1232" s="5">
        <v>44433</v>
      </c>
      <c r="D1232" t="s">
        <v>41</v>
      </c>
      <c r="E1232" t="s">
        <v>486</v>
      </c>
      <c r="F1232" t="s">
        <v>368</v>
      </c>
      <c r="G1232" s="6">
        <v>28</v>
      </c>
      <c r="H1232" s="7">
        <v>0.6</v>
      </c>
      <c r="I1232" s="7">
        <v>16.8</v>
      </c>
    </row>
    <row r="1233" spans="1:9" x14ac:dyDescent="0.2">
      <c r="A1233" t="s">
        <v>8</v>
      </c>
      <c r="B1233" s="4" t="s">
        <v>605</v>
      </c>
      <c r="C1233" s="5">
        <v>44432</v>
      </c>
      <c r="D1233" t="s">
        <v>14</v>
      </c>
      <c r="E1233" t="s">
        <v>606</v>
      </c>
      <c r="F1233" t="s">
        <v>368</v>
      </c>
      <c r="G1233" s="6">
        <v>9</v>
      </c>
      <c r="H1233" s="7" t="s">
        <v>17</v>
      </c>
      <c r="I1233" s="7" t="s">
        <v>17</v>
      </c>
    </row>
    <row r="1234" spans="1:9" x14ac:dyDescent="0.2">
      <c r="A1234" t="s">
        <v>8</v>
      </c>
      <c r="B1234" s="4" t="s">
        <v>607</v>
      </c>
      <c r="C1234" s="5">
        <v>44431</v>
      </c>
      <c r="D1234" t="s">
        <v>14</v>
      </c>
      <c r="E1234" t="s">
        <v>456</v>
      </c>
      <c r="F1234" t="s">
        <v>368</v>
      </c>
      <c r="G1234" s="6">
        <v>0</v>
      </c>
      <c r="H1234" s="7" t="s">
        <v>17</v>
      </c>
      <c r="I1234" s="7" t="s">
        <v>17</v>
      </c>
    </row>
    <row r="1235" spans="1:9" hidden="1" x14ac:dyDescent="0.2">
      <c r="A1235" t="s">
        <v>18</v>
      </c>
      <c r="B1235" s="4" t="s">
        <v>608</v>
      </c>
      <c r="C1235" s="5">
        <v>44428</v>
      </c>
      <c r="D1235" t="s">
        <v>20</v>
      </c>
      <c r="E1235" t="s">
        <v>456</v>
      </c>
      <c r="F1235" t="s">
        <v>368</v>
      </c>
      <c r="G1235" s="6">
        <v>20</v>
      </c>
      <c r="H1235" s="7" t="s">
        <v>17</v>
      </c>
      <c r="I1235" s="7" t="s">
        <v>17</v>
      </c>
    </row>
    <row r="1236" spans="1:9" hidden="1" x14ac:dyDescent="0.2">
      <c r="A1236" t="s">
        <v>8</v>
      </c>
      <c r="B1236" s="4" t="s">
        <v>608</v>
      </c>
      <c r="C1236" s="5">
        <v>44428</v>
      </c>
      <c r="D1236" t="s">
        <v>21</v>
      </c>
      <c r="E1236" t="s">
        <v>456</v>
      </c>
      <c r="F1236" t="s">
        <v>368</v>
      </c>
      <c r="G1236" s="6">
        <v>20</v>
      </c>
      <c r="H1236" s="7" t="s">
        <v>17</v>
      </c>
      <c r="I1236" s="7" t="s">
        <v>17</v>
      </c>
    </row>
    <row r="1237" spans="1:9" hidden="1" x14ac:dyDescent="0.2">
      <c r="A1237" t="s">
        <v>18</v>
      </c>
      <c r="B1237" s="4" t="s">
        <v>609</v>
      </c>
      <c r="C1237" s="5">
        <v>44426</v>
      </c>
      <c r="D1237" t="s">
        <v>41</v>
      </c>
      <c r="E1237" t="s">
        <v>328</v>
      </c>
      <c r="F1237" t="s">
        <v>368</v>
      </c>
      <c r="G1237" s="6">
        <v>52</v>
      </c>
      <c r="H1237" s="7">
        <v>1</v>
      </c>
      <c r="I1237" s="7">
        <v>52</v>
      </c>
    </row>
    <row r="1238" spans="1:9" hidden="1" x14ac:dyDescent="0.2">
      <c r="A1238" t="s">
        <v>18</v>
      </c>
      <c r="B1238" s="4" t="s">
        <v>610</v>
      </c>
      <c r="C1238" s="5">
        <v>44425</v>
      </c>
      <c r="D1238" t="s">
        <v>41</v>
      </c>
      <c r="E1238" t="s">
        <v>331</v>
      </c>
      <c r="F1238" t="s">
        <v>368</v>
      </c>
      <c r="G1238" s="6">
        <v>41</v>
      </c>
      <c r="H1238" s="7">
        <v>1.1499999999999999</v>
      </c>
      <c r="I1238" s="7">
        <v>47.23</v>
      </c>
    </row>
    <row r="1239" spans="1:9" x14ac:dyDescent="0.2">
      <c r="A1239" t="s">
        <v>8</v>
      </c>
      <c r="B1239" s="4" t="s">
        <v>610</v>
      </c>
      <c r="C1239" s="5">
        <v>44425</v>
      </c>
      <c r="D1239" t="s">
        <v>14</v>
      </c>
      <c r="E1239" t="s">
        <v>611</v>
      </c>
      <c r="F1239" t="s">
        <v>368</v>
      </c>
      <c r="G1239" s="6">
        <v>0</v>
      </c>
      <c r="H1239" s="7" t="s">
        <v>17</v>
      </c>
      <c r="I1239" s="7" t="s">
        <v>17</v>
      </c>
    </row>
    <row r="1240" spans="1:9" x14ac:dyDescent="0.2">
      <c r="A1240" t="s">
        <v>18</v>
      </c>
      <c r="B1240" s="4" t="s">
        <v>610</v>
      </c>
      <c r="C1240" s="5">
        <v>44425</v>
      </c>
      <c r="D1240" t="s">
        <v>612</v>
      </c>
      <c r="E1240" t="s">
        <v>568</v>
      </c>
      <c r="F1240" t="s">
        <v>368</v>
      </c>
      <c r="G1240" s="6">
        <v>8</v>
      </c>
      <c r="H1240" s="7" t="s">
        <v>17</v>
      </c>
      <c r="I1240" s="7" t="s">
        <v>17</v>
      </c>
    </row>
    <row r="1241" spans="1:9" x14ac:dyDescent="0.2">
      <c r="A1241" t="s">
        <v>8</v>
      </c>
      <c r="B1241" s="4" t="s">
        <v>610</v>
      </c>
      <c r="C1241" s="5">
        <v>44425</v>
      </c>
      <c r="D1241" t="s">
        <v>612</v>
      </c>
      <c r="E1241" t="s">
        <v>568</v>
      </c>
      <c r="F1241" t="s">
        <v>368</v>
      </c>
      <c r="G1241" s="6">
        <v>8</v>
      </c>
      <c r="H1241" s="7" t="s">
        <v>17</v>
      </c>
      <c r="I1241" s="7" t="s">
        <v>17</v>
      </c>
    </row>
    <row r="1242" spans="1:9" hidden="1" x14ac:dyDescent="0.2">
      <c r="A1242" t="s">
        <v>18</v>
      </c>
      <c r="B1242" s="4" t="s">
        <v>613</v>
      </c>
      <c r="C1242" s="5">
        <v>44424</v>
      </c>
      <c r="D1242" t="s">
        <v>24</v>
      </c>
      <c r="E1242" t="s">
        <v>57</v>
      </c>
      <c r="F1242" t="s">
        <v>368</v>
      </c>
      <c r="G1242" s="6">
        <v>100</v>
      </c>
      <c r="H1242" s="7">
        <v>0.13</v>
      </c>
      <c r="I1242" s="7">
        <v>11.38</v>
      </c>
    </row>
    <row r="1243" spans="1:9" x14ac:dyDescent="0.2">
      <c r="A1243" t="s">
        <v>8</v>
      </c>
      <c r="B1243" s="4" t="s">
        <v>613</v>
      </c>
      <c r="C1243" s="5">
        <v>44424</v>
      </c>
      <c r="D1243" t="s">
        <v>614</v>
      </c>
      <c r="E1243" t="s">
        <v>611</v>
      </c>
      <c r="F1243" t="s">
        <v>368</v>
      </c>
      <c r="G1243" s="6">
        <v>8</v>
      </c>
      <c r="H1243" s="7" t="s">
        <v>17</v>
      </c>
      <c r="I1243" s="7" t="s">
        <v>17</v>
      </c>
    </row>
    <row r="1244" spans="1:9" x14ac:dyDescent="0.2">
      <c r="A1244" t="s">
        <v>8</v>
      </c>
      <c r="B1244" s="4" t="s">
        <v>613</v>
      </c>
      <c r="C1244" s="5">
        <v>44424</v>
      </c>
      <c r="D1244" t="s">
        <v>615</v>
      </c>
      <c r="E1244" t="s">
        <v>611</v>
      </c>
      <c r="F1244" t="s">
        <v>368</v>
      </c>
      <c r="G1244" s="6">
        <v>8</v>
      </c>
      <c r="H1244" s="7" t="s">
        <v>17</v>
      </c>
      <c r="I1244" s="7" t="s">
        <v>17</v>
      </c>
    </row>
    <row r="1245" spans="1:9" hidden="1" x14ac:dyDescent="0.2">
      <c r="A1245" t="s">
        <v>18</v>
      </c>
      <c r="B1245" s="4" t="s">
        <v>616</v>
      </c>
      <c r="C1245" s="5">
        <v>44421</v>
      </c>
      <c r="D1245" t="s">
        <v>41</v>
      </c>
      <c r="E1245" t="s">
        <v>284</v>
      </c>
      <c r="F1245" t="s">
        <v>368</v>
      </c>
      <c r="G1245" s="6">
        <v>14</v>
      </c>
      <c r="H1245" s="7">
        <v>1.1000000000000001</v>
      </c>
      <c r="I1245" s="7">
        <v>15.4</v>
      </c>
    </row>
    <row r="1246" spans="1:9" hidden="1" x14ac:dyDescent="0.2">
      <c r="A1246" t="s">
        <v>18</v>
      </c>
      <c r="B1246" s="4" t="s">
        <v>616</v>
      </c>
      <c r="C1246" s="5">
        <v>44421</v>
      </c>
      <c r="D1246" t="s">
        <v>41</v>
      </c>
      <c r="E1246" t="s">
        <v>296</v>
      </c>
      <c r="F1246" t="s">
        <v>368</v>
      </c>
      <c r="G1246" s="6">
        <v>40</v>
      </c>
      <c r="H1246" s="7">
        <v>0.72</v>
      </c>
      <c r="I1246" s="7">
        <v>28.8</v>
      </c>
    </row>
    <row r="1247" spans="1:9" hidden="1" x14ac:dyDescent="0.2">
      <c r="A1247" t="s">
        <v>18</v>
      </c>
      <c r="B1247" s="4" t="s">
        <v>616</v>
      </c>
      <c r="C1247" s="5">
        <v>44421</v>
      </c>
      <c r="D1247" t="s">
        <v>41</v>
      </c>
      <c r="E1247" t="s">
        <v>510</v>
      </c>
      <c r="F1247" t="s">
        <v>368</v>
      </c>
      <c r="G1247" s="6">
        <v>10</v>
      </c>
      <c r="H1247" s="7">
        <v>0.69</v>
      </c>
      <c r="I1247" s="7">
        <v>6.9</v>
      </c>
    </row>
    <row r="1248" spans="1:9" hidden="1" x14ac:dyDescent="0.2">
      <c r="A1248" t="s">
        <v>18</v>
      </c>
      <c r="B1248" s="4" t="s">
        <v>616</v>
      </c>
      <c r="C1248" s="5">
        <v>44421</v>
      </c>
      <c r="D1248" t="s">
        <v>41</v>
      </c>
      <c r="E1248" t="s">
        <v>297</v>
      </c>
      <c r="F1248" t="s">
        <v>368</v>
      </c>
      <c r="G1248" s="6">
        <v>45</v>
      </c>
      <c r="H1248" s="7">
        <v>0.53</v>
      </c>
      <c r="I1248" s="7">
        <v>23.85</v>
      </c>
    </row>
    <row r="1249" spans="1:9" hidden="1" x14ac:dyDescent="0.2">
      <c r="A1249" t="s">
        <v>18</v>
      </c>
      <c r="B1249" s="4" t="s">
        <v>616</v>
      </c>
      <c r="C1249" s="5">
        <v>44421</v>
      </c>
      <c r="D1249" t="s">
        <v>41</v>
      </c>
      <c r="E1249" t="s">
        <v>329</v>
      </c>
      <c r="F1249" t="s">
        <v>368</v>
      </c>
      <c r="G1249" s="6">
        <v>48</v>
      </c>
      <c r="H1249" s="7">
        <v>0.42</v>
      </c>
      <c r="I1249" s="7">
        <v>20.16</v>
      </c>
    </row>
    <row r="1250" spans="1:9" hidden="1" x14ac:dyDescent="0.2">
      <c r="A1250" t="s">
        <v>18</v>
      </c>
      <c r="B1250" s="4" t="s">
        <v>616</v>
      </c>
      <c r="C1250" s="5">
        <v>44421</v>
      </c>
      <c r="D1250" t="s">
        <v>41</v>
      </c>
      <c r="E1250" t="s">
        <v>511</v>
      </c>
      <c r="F1250" t="s">
        <v>368</v>
      </c>
      <c r="G1250" s="6">
        <v>25</v>
      </c>
      <c r="H1250" s="7">
        <v>0.61</v>
      </c>
      <c r="I1250" s="7">
        <v>15.25</v>
      </c>
    </row>
    <row r="1251" spans="1:9" hidden="1" x14ac:dyDescent="0.2">
      <c r="A1251" t="s">
        <v>18</v>
      </c>
      <c r="B1251" s="4" t="s">
        <v>616</v>
      </c>
      <c r="C1251" s="5">
        <v>44421</v>
      </c>
      <c r="D1251" t="s">
        <v>41</v>
      </c>
      <c r="E1251" t="s">
        <v>512</v>
      </c>
      <c r="F1251" t="s">
        <v>368</v>
      </c>
      <c r="G1251" s="6">
        <v>28</v>
      </c>
      <c r="H1251" s="7">
        <v>0.5</v>
      </c>
      <c r="I1251" s="7">
        <v>14</v>
      </c>
    </row>
    <row r="1252" spans="1:9" hidden="1" x14ac:dyDescent="0.2">
      <c r="A1252" t="s">
        <v>18</v>
      </c>
      <c r="B1252" s="4" t="s">
        <v>616</v>
      </c>
      <c r="C1252" s="5">
        <v>44421</v>
      </c>
      <c r="D1252" t="s">
        <v>41</v>
      </c>
      <c r="E1252" t="s">
        <v>484</v>
      </c>
      <c r="F1252" t="s">
        <v>368</v>
      </c>
      <c r="G1252" s="6">
        <v>28</v>
      </c>
      <c r="H1252" s="7">
        <v>0.62</v>
      </c>
      <c r="I1252" s="7">
        <v>17.36</v>
      </c>
    </row>
    <row r="1253" spans="1:9" x14ac:dyDescent="0.2">
      <c r="A1253" t="s">
        <v>8</v>
      </c>
      <c r="B1253" s="4" t="s">
        <v>617</v>
      </c>
      <c r="C1253" s="5">
        <v>44420</v>
      </c>
      <c r="D1253" t="s">
        <v>612</v>
      </c>
      <c r="E1253" t="s">
        <v>599</v>
      </c>
      <c r="F1253" t="s">
        <v>368</v>
      </c>
      <c r="G1253" s="6">
        <v>3</v>
      </c>
      <c r="H1253" s="7" t="s">
        <v>17</v>
      </c>
      <c r="I1253" s="7" t="s">
        <v>17</v>
      </c>
    </row>
    <row r="1254" spans="1:9" x14ac:dyDescent="0.2">
      <c r="A1254" t="s">
        <v>18</v>
      </c>
      <c r="B1254" s="4" t="s">
        <v>617</v>
      </c>
      <c r="C1254" s="5">
        <v>44420</v>
      </c>
      <c r="D1254" t="s">
        <v>612</v>
      </c>
      <c r="E1254" t="s">
        <v>599</v>
      </c>
      <c r="F1254" t="s">
        <v>368</v>
      </c>
      <c r="G1254" s="6">
        <v>3</v>
      </c>
      <c r="H1254" s="7" t="s">
        <v>17</v>
      </c>
      <c r="I1254" s="7" t="s">
        <v>17</v>
      </c>
    </row>
    <row r="1255" spans="1:9" x14ac:dyDescent="0.2">
      <c r="A1255" t="s">
        <v>8</v>
      </c>
      <c r="B1255" s="4" t="s">
        <v>618</v>
      </c>
      <c r="C1255" s="5">
        <v>44419</v>
      </c>
      <c r="D1255" t="s">
        <v>615</v>
      </c>
      <c r="E1255" t="s">
        <v>404</v>
      </c>
      <c r="F1255" t="s">
        <v>368</v>
      </c>
      <c r="G1255" s="6">
        <v>3</v>
      </c>
      <c r="H1255" s="7" t="s">
        <v>17</v>
      </c>
      <c r="I1255" s="7" t="s">
        <v>17</v>
      </c>
    </row>
    <row r="1256" spans="1:9" x14ac:dyDescent="0.2">
      <c r="A1256" t="s">
        <v>8</v>
      </c>
      <c r="B1256" s="4" t="s">
        <v>618</v>
      </c>
      <c r="C1256" s="5">
        <v>44419</v>
      </c>
      <c r="D1256" t="s">
        <v>14</v>
      </c>
      <c r="E1256" t="s">
        <v>404</v>
      </c>
      <c r="F1256" t="s">
        <v>368</v>
      </c>
      <c r="G1256" s="6">
        <v>0</v>
      </c>
      <c r="H1256" s="7" t="s">
        <v>17</v>
      </c>
      <c r="I1256" s="7" t="s">
        <v>17</v>
      </c>
    </row>
    <row r="1257" spans="1:9" hidden="1" x14ac:dyDescent="0.2">
      <c r="A1257" t="s">
        <v>18</v>
      </c>
      <c r="B1257" s="4" t="s">
        <v>618</v>
      </c>
      <c r="C1257" s="5">
        <v>44419</v>
      </c>
      <c r="D1257" t="s">
        <v>35</v>
      </c>
      <c r="E1257" t="s">
        <v>129</v>
      </c>
      <c r="F1257" t="s">
        <v>368</v>
      </c>
      <c r="G1257" s="6">
        <v>400</v>
      </c>
      <c r="H1257" s="7">
        <v>0.15</v>
      </c>
      <c r="I1257" s="7">
        <v>63.27</v>
      </c>
    </row>
    <row r="1258" spans="1:9" hidden="1" x14ac:dyDescent="0.2">
      <c r="A1258" t="s">
        <v>18</v>
      </c>
      <c r="B1258" s="4" t="s">
        <v>618</v>
      </c>
      <c r="C1258" s="5">
        <v>44419</v>
      </c>
      <c r="D1258" t="s">
        <v>24</v>
      </c>
      <c r="E1258" t="s">
        <v>129</v>
      </c>
      <c r="F1258" t="s">
        <v>368</v>
      </c>
      <c r="G1258" s="6">
        <v>200</v>
      </c>
      <c r="H1258" s="7">
        <v>0.03</v>
      </c>
      <c r="I1258" s="7">
        <v>5.75</v>
      </c>
    </row>
    <row r="1259" spans="1:9" hidden="1" x14ac:dyDescent="0.2">
      <c r="A1259" t="s">
        <v>18</v>
      </c>
      <c r="B1259" s="4" t="s">
        <v>618</v>
      </c>
      <c r="C1259" s="5">
        <v>44419</v>
      </c>
      <c r="D1259" t="s">
        <v>24</v>
      </c>
      <c r="E1259" t="s">
        <v>129</v>
      </c>
      <c r="F1259" t="s">
        <v>368</v>
      </c>
      <c r="G1259" s="6">
        <v>400</v>
      </c>
      <c r="H1259" s="7">
        <v>0.02</v>
      </c>
      <c r="I1259" s="7">
        <v>6.98</v>
      </c>
    </row>
    <row r="1260" spans="1:9" hidden="1" x14ac:dyDescent="0.2">
      <c r="A1260" t="s">
        <v>18</v>
      </c>
      <c r="B1260" s="4" t="s">
        <v>618</v>
      </c>
      <c r="C1260" s="5">
        <v>44419</v>
      </c>
      <c r="D1260" t="s">
        <v>35</v>
      </c>
      <c r="E1260" t="s">
        <v>129</v>
      </c>
      <c r="F1260" t="s">
        <v>16</v>
      </c>
      <c r="G1260" s="6">
        <v>400</v>
      </c>
      <c r="H1260" s="7">
        <v>0.15</v>
      </c>
      <c r="I1260" s="7">
        <v>63.27</v>
      </c>
    </row>
    <row r="1261" spans="1:9" hidden="1" x14ac:dyDescent="0.2">
      <c r="A1261" t="s">
        <v>18</v>
      </c>
      <c r="B1261" s="4" t="s">
        <v>618</v>
      </c>
      <c r="C1261" s="5">
        <v>44419</v>
      </c>
      <c r="D1261" t="s">
        <v>24</v>
      </c>
      <c r="E1261" t="s">
        <v>129</v>
      </c>
      <c r="F1261" t="s">
        <v>16</v>
      </c>
      <c r="G1261" s="6">
        <v>400</v>
      </c>
      <c r="H1261" s="7">
        <v>0.02</v>
      </c>
      <c r="I1261" s="7">
        <v>6.98</v>
      </c>
    </row>
    <row r="1262" spans="1:9" hidden="1" x14ac:dyDescent="0.2">
      <c r="A1262" t="s">
        <v>18</v>
      </c>
      <c r="B1262" s="4" t="s">
        <v>618</v>
      </c>
      <c r="C1262" s="5">
        <v>44419</v>
      </c>
      <c r="D1262" t="s">
        <v>24</v>
      </c>
      <c r="E1262" t="s">
        <v>129</v>
      </c>
      <c r="F1262" t="s">
        <v>16</v>
      </c>
      <c r="G1262" s="6">
        <v>200</v>
      </c>
      <c r="H1262" s="7">
        <v>0.03</v>
      </c>
      <c r="I1262" s="7">
        <v>5.75</v>
      </c>
    </row>
    <row r="1263" spans="1:9" x14ac:dyDescent="0.2">
      <c r="A1263" t="s">
        <v>8</v>
      </c>
      <c r="B1263" s="4" t="s">
        <v>619</v>
      </c>
      <c r="C1263" s="5">
        <v>44418</v>
      </c>
      <c r="D1263" t="s">
        <v>614</v>
      </c>
      <c r="E1263" t="s">
        <v>404</v>
      </c>
      <c r="F1263" t="s">
        <v>368</v>
      </c>
      <c r="G1263" s="6">
        <v>3</v>
      </c>
      <c r="H1263" s="7" t="s">
        <v>17</v>
      </c>
      <c r="I1263" s="7" t="s">
        <v>17</v>
      </c>
    </row>
    <row r="1264" spans="1:9" x14ac:dyDescent="0.2">
      <c r="A1264" t="s">
        <v>18</v>
      </c>
      <c r="B1264" s="4" t="s">
        <v>619</v>
      </c>
      <c r="C1264" s="5">
        <v>44418</v>
      </c>
      <c r="D1264" t="s">
        <v>28</v>
      </c>
      <c r="E1264" t="s">
        <v>456</v>
      </c>
      <c r="F1264" t="s">
        <v>368</v>
      </c>
      <c r="G1264" s="6">
        <v>20</v>
      </c>
      <c r="H1264" s="7" t="s">
        <v>17</v>
      </c>
      <c r="I1264" s="7" t="s">
        <v>17</v>
      </c>
    </row>
    <row r="1265" spans="1:9" x14ac:dyDescent="0.2">
      <c r="A1265" t="s">
        <v>18</v>
      </c>
      <c r="B1265" s="4" t="s">
        <v>619</v>
      </c>
      <c r="C1265" s="5">
        <v>44418</v>
      </c>
      <c r="D1265" t="s">
        <v>28</v>
      </c>
      <c r="E1265" t="s">
        <v>606</v>
      </c>
      <c r="F1265" t="s">
        <v>368</v>
      </c>
      <c r="G1265" s="6">
        <v>9</v>
      </c>
      <c r="H1265" s="7" t="s">
        <v>17</v>
      </c>
      <c r="I1265" s="7" t="s">
        <v>17</v>
      </c>
    </row>
    <row r="1266" spans="1:9" hidden="1" x14ac:dyDescent="0.2">
      <c r="A1266" t="s">
        <v>18</v>
      </c>
      <c r="B1266" s="4" t="s">
        <v>620</v>
      </c>
      <c r="C1266" s="5">
        <v>44414</v>
      </c>
      <c r="D1266" t="s">
        <v>41</v>
      </c>
      <c r="E1266" t="s">
        <v>509</v>
      </c>
      <c r="F1266" t="s">
        <v>368</v>
      </c>
      <c r="G1266" s="6">
        <v>34</v>
      </c>
      <c r="H1266" s="7">
        <v>0.5</v>
      </c>
      <c r="I1266" s="7">
        <v>17</v>
      </c>
    </row>
    <row r="1267" spans="1:9" x14ac:dyDescent="0.2">
      <c r="A1267" t="s">
        <v>8</v>
      </c>
      <c r="B1267" s="4" t="s">
        <v>621</v>
      </c>
      <c r="C1267" s="5">
        <v>44413</v>
      </c>
      <c r="D1267" t="s">
        <v>14</v>
      </c>
      <c r="E1267" t="s">
        <v>483</v>
      </c>
      <c r="F1267" t="s">
        <v>368</v>
      </c>
      <c r="G1267" s="6">
        <v>0</v>
      </c>
      <c r="H1267" s="7" t="s">
        <v>17</v>
      </c>
      <c r="I1267" s="7" t="s">
        <v>17</v>
      </c>
    </row>
    <row r="1268" spans="1:9" x14ac:dyDescent="0.2">
      <c r="A1268" t="s">
        <v>18</v>
      </c>
      <c r="B1268" s="4" t="s">
        <v>621</v>
      </c>
      <c r="C1268" s="5">
        <v>44413</v>
      </c>
      <c r="D1268" t="s">
        <v>612</v>
      </c>
      <c r="E1268" t="s">
        <v>596</v>
      </c>
      <c r="F1268" t="s">
        <v>368</v>
      </c>
      <c r="G1268" s="6">
        <v>9</v>
      </c>
      <c r="H1268" s="7" t="s">
        <v>17</v>
      </c>
      <c r="I1268" s="7" t="s">
        <v>17</v>
      </c>
    </row>
    <row r="1269" spans="1:9" x14ac:dyDescent="0.2">
      <c r="A1269" t="s">
        <v>8</v>
      </c>
      <c r="B1269" s="4" t="s">
        <v>621</v>
      </c>
      <c r="C1269" s="5">
        <v>44413</v>
      </c>
      <c r="D1269" t="s">
        <v>612</v>
      </c>
      <c r="E1269" t="s">
        <v>596</v>
      </c>
      <c r="F1269" t="s">
        <v>368</v>
      </c>
      <c r="G1269" s="6">
        <v>9</v>
      </c>
      <c r="H1269" s="7" t="s">
        <v>17</v>
      </c>
      <c r="I1269" s="7" t="s">
        <v>17</v>
      </c>
    </row>
    <row r="1270" spans="1:9" x14ac:dyDescent="0.2">
      <c r="A1270" t="s">
        <v>8</v>
      </c>
      <c r="B1270" s="4" t="s">
        <v>622</v>
      </c>
      <c r="C1270" s="5">
        <v>44412</v>
      </c>
      <c r="D1270" t="s">
        <v>615</v>
      </c>
      <c r="E1270" t="s">
        <v>483</v>
      </c>
      <c r="F1270" t="s">
        <v>368</v>
      </c>
      <c r="G1270" s="6">
        <v>9</v>
      </c>
      <c r="H1270" s="7" t="s">
        <v>17</v>
      </c>
      <c r="I1270" s="7" t="s">
        <v>17</v>
      </c>
    </row>
    <row r="1271" spans="1:9" x14ac:dyDescent="0.2">
      <c r="A1271" t="s">
        <v>8</v>
      </c>
      <c r="B1271" s="4" t="s">
        <v>622</v>
      </c>
      <c r="C1271" s="5">
        <v>44412</v>
      </c>
      <c r="D1271" t="s">
        <v>614</v>
      </c>
      <c r="E1271" t="s">
        <v>483</v>
      </c>
      <c r="F1271" t="s">
        <v>368</v>
      </c>
      <c r="G1271" s="6">
        <v>9</v>
      </c>
      <c r="H1271" s="7" t="s">
        <v>17</v>
      </c>
      <c r="I1271" s="7" t="s">
        <v>17</v>
      </c>
    </row>
    <row r="1272" spans="1:9" x14ac:dyDescent="0.2">
      <c r="A1272" t="s">
        <v>18</v>
      </c>
      <c r="B1272" s="4" t="s">
        <v>622</v>
      </c>
      <c r="C1272" s="5">
        <v>44412</v>
      </c>
      <c r="D1272" t="s">
        <v>28</v>
      </c>
      <c r="E1272" t="s">
        <v>611</v>
      </c>
      <c r="F1272" t="s">
        <v>368</v>
      </c>
      <c r="G1272" s="6">
        <v>8</v>
      </c>
      <c r="H1272" s="7" t="s">
        <v>17</v>
      </c>
      <c r="I1272" s="7" t="s">
        <v>17</v>
      </c>
    </row>
    <row r="1273" spans="1:9" hidden="1" x14ac:dyDescent="0.2">
      <c r="A1273" t="s">
        <v>18</v>
      </c>
      <c r="B1273" s="4" t="s">
        <v>623</v>
      </c>
      <c r="C1273" s="5">
        <v>44410</v>
      </c>
      <c r="D1273" t="s">
        <v>35</v>
      </c>
      <c r="E1273" t="s">
        <v>123</v>
      </c>
      <c r="F1273" t="s">
        <v>368</v>
      </c>
      <c r="G1273" s="6">
        <v>300</v>
      </c>
      <c r="H1273" s="7">
        <v>0.01</v>
      </c>
      <c r="I1273" s="7">
        <v>4.5</v>
      </c>
    </row>
    <row r="1274" spans="1:9" x14ac:dyDescent="0.2">
      <c r="A1274" t="s">
        <v>8</v>
      </c>
      <c r="B1274" s="4" t="s">
        <v>624</v>
      </c>
      <c r="C1274" s="5">
        <v>44403</v>
      </c>
      <c r="D1274" t="s">
        <v>14</v>
      </c>
      <c r="E1274" t="s">
        <v>625</v>
      </c>
      <c r="F1274" t="s">
        <v>368</v>
      </c>
      <c r="G1274" s="6">
        <v>14</v>
      </c>
      <c r="H1274" s="7" t="s">
        <v>17</v>
      </c>
      <c r="I1274" s="7" t="s">
        <v>17</v>
      </c>
    </row>
    <row r="1275" spans="1:9" x14ac:dyDescent="0.2">
      <c r="A1275" t="s">
        <v>18</v>
      </c>
      <c r="B1275" s="4" t="s">
        <v>624</v>
      </c>
      <c r="C1275" s="5">
        <v>44403</v>
      </c>
      <c r="D1275" t="s">
        <v>28</v>
      </c>
      <c r="E1275" t="s">
        <v>404</v>
      </c>
      <c r="F1275" t="s">
        <v>368</v>
      </c>
      <c r="G1275" s="6">
        <v>3</v>
      </c>
      <c r="H1275" s="7" t="s">
        <v>17</v>
      </c>
      <c r="I1275" s="7" t="s">
        <v>17</v>
      </c>
    </row>
    <row r="1276" spans="1:9" hidden="1" x14ac:dyDescent="0.2">
      <c r="A1276" t="s">
        <v>18</v>
      </c>
      <c r="B1276" s="4" t="s">
        <v>626</v>
      </c>
      <c r="C1276" s="5">
        <v>44400</v>
      </c>
      <c r="D1276" t="s">
        <v>41</v>
      </c>
      <c r="E1276" t="s">
        <v>486</v>
      </c>
      <c r="F1276" t="s">
        <v>368</v>
      </c>
      <c r="G1276" s="6">
        <v>28</v>
      </c>
      <c r="H1276" s="7">
        <v>0.52</v>
      </c>
      <c r="I1276" s="7">
        <v>14.56</v>
      </c>
    </row>
    <row r="1277" spans="1:9" x14ac:dyDescent="0.2">
      <c r="A1277" t="s">
        <v>18</v>
      </c>
      <c r="B1277" s="4" t="s">
        <v>627</v>
      </c>
      <c r="C1277" s="5">
        <v>44397</v>
      </c>
      <c r="D1277" t="s">
        <v>28</v>
      </c>
      <c r="E1277" t="s">
        <v>483</v>
      </c>
      <c r="F1277" t="s">
        <v>368</v>
      </c>
      <c r="G1277" s="6">
        <v>9</v>
      </c>
      <c r="H1277" s="7" t="s">
        <v>17</v>
      </c>
      <c r="I1277" s="7" t="s">
        <v>17</v>
      </c>
    </row>
    <row r="1278" spans="1:9" hidden="1" x14ac:dyDescent="0.2">
      <c r="A1278" t="s">
        <v>18</v>
      </c>
      <c r="B1278" s="4" t="s">
        <v>627</v>
      </c>
      <c r="C1278" s="5">
        <v>44397</v>
      </c>
      <c r="D1278" t="s">
        <v>41</v>
      </c>
      <c r="E1278" t="s">
        <v>328</v>
      </c>
      <c r="F1278" t="s">
        <v>368</v>
      </c>
      <c r="G1278" s="6">
        <v>52</v>
      </c>
      <c r="H1278" s="7">
        <v>1</v>
      </c>
      <c r="I1278" s="7">
        <v>52</v>
      </c>
    </row>
    <row r="1279" spans="1:9" hidden="1" x14ac:dyDescent="0.2">
      <c r="A1279" t="s">
        <v>18</v>
      </c>
      <c r="B1279" s="4" t="s">
        <v>628</v>
      </c>
      <c r="C1279" s="5">
        <v>44396</v>
      </c>
      <c r="D1279" t="s">
        <v>41</v>
      </c>
      <c r="E1279" t="s">
        <v>331</v>
      </c>
      <c r="F1279" t="s">
        <v>368</v>
      </c>
      <c r="G1279" s="6">
        <v>41</v>
      </c>
      <c r="H1279" s="7">
        <v>0.97</v>
      </c>
      <c r="I1279" s="7">
        <v>39.83</v>
      </c>
    </row>
    <row r="1280" spans="1:9" hidden="1" x14ac:dyDescent="0.2">
      <c r="A1280" t="s">
        <v>18</v>
      </c>
      <c r="B1280" s="4" t="s">
        <v>629</v>
      </c>
      <c r="C1280" s="5">
        <v>44392</v>
      </c>
      <c r="D1280" t="s">
        <v>41</v>
      </c>
      <c r="E1280" t="s">
        <v>284</v>
      </c>
      <c r="F1280" t="s">
        <v>368</v>
      </c>
      <c r="G1280" s="6">
        <v>14</v>
      </c>
      <c r="H1280" s="7">
        <v>2.2000000000000002</v>
      </c>
      <c r="I1280" s="7">
        <v>30.8</v>
      </c>
    </row>
    <row r="1281" spans="1:9" hidden="1" x14ac:dyDescent="0.2">
      <c r="A1281" t="s">
        <v>18</v>
      </c>
      <c r="B1281" s="4" t="s">
        <v>629</v>
      </c>
      <c r="C1281" s="5">
        <v>44392</v>
      </c>
      <c r="D1281" t="s">
        <v>41</v>
      </c>
      <c r="E1281" t="s">
        <v>296</v>
      </c>
      <c r="F1281" t="s">
        <v>368</v>
      </c>
      <c r="G1281" s="6">
        <v>40</v>
      </c>
      <c r="H1281" s="7">
        <v>0.9</v>
      </c>
      <c r="I1281" s="7">
        <v>36</v>
      </c>
    </row>
    <row r="1282" spans="1:9" hidden="1" x14ac:dyDescent="0.2">
      <c r="A1282" t="s">
        <v>18</v>
      </c>
      <c r="B1282" s="4" t="s">
        <v>629</v>
      </c>
      <c r="C1282" s="5">
        <v>44392</v>
      </c>
      <c r="D1282" t="s">
        <v>41</v>
      </c>
      <c r="E1282" t="s">
        <v>297</v>
      </c>
      <c r="F1282" t="s">
        <v>368</v>
      </c>
      <c r="G1282" s="6">
        <v>45</v>
      </c>
      <c r="H1282" s="7">
        <v>0.5</v>
      </c>
      <c r="I1282" s="7">
        <v>22.5</v>
      </c>
    </row>
    <row r="1283" spans="1:9" hidden="1" x14ac:dyDescent="0.2">
      <c r="A1283" t="s">
        <v>18</v>
      </c>
      <c r="B1283" s="4" t="s">
        <v>629</v>
      </c>
      <c r="C1283" s="5">
        <v>44392</v>
      </c>
      <c r="D1283" t="s">
        <v>41</v>
      </c>
      <c r="E1283" t="s">
        <v>329</v>
      </c>
      <c r="F1283" t="s">
        <v>368</v>
      </c>
      <c r="G1283" s="6">
        <v>48</v>
      </c>
      <c r="H1283" s="7">
        <v>0.35</v>
      </c>
      <c r="I1283" s="7">
        <v>16.8</v>
      </c>
    </row>
    <row r="1284" spans="1:9" hidden="1" x14ac:dyDescent="0.2">
      <c r="A1284" t="s">
        <v>18</v>
      </c>
      <c r="B1284" s="4" t="s">
        <v>629</v>
      </c>
      <c r="C1284" s="5">
        <v>44392</v>
      </c>
      <c r="D1284" t="s">
        <v>41</v>
      </c>
      <c r="E1284" t="s">
        <v>630</v>
      </c>
      <c r="F1284" t="s">
        <v>368</v>
      </c>
      <c r="G1284" s="6">
        <v>25</v>
      </c>
      <c r="H1284" s="7">
        <v>0.6</v>
      </c>
      <c r="I1284" s="7">
        <v>15</v>
      </c>
    </row>
    <row r="1285" spans="1:9" hidden="1" x14ac:dyDescent="0.2">
      <c r="A1285" t="s">
        <v>18</v>
      </c>
      <c r="B1285" s="4" t="s">
        <v>629</v>
      </c>
      <c r="C1285" s="5">
        <v>44392</v>
      </c>
      <c r="D1285" t="s">
        <v>41</v>
      </c>
      <c r="E1285" t="s">
        <v>512</v>
      </c>
      <c r="F1285" t="s">
        <v>368</v>
      </c>
      <c r="G1285" s="6">
        <v>28</v>
      </c>
      <c r="H1285" s="7">
        <v>0.42</v>
      </c>
      <c r="I1285" s="7">
        <v>11.76</v>
      </c>
    </row>
    <row r="1286" spans="1:9" hidden="1" x14ac:dyDescent="0.2">
      <c r="A1286" t="s">
        <v>18</v>
      </c>
      <c r="B1286" s="4" t="s">
        <v>631</v>
      </c>
      <c r="C1286" s="5">
        <v>44391</v>
      </c>
      <c r="D1286" t="s">
        <v>41</v>
      </c>
      <c r="E1286" t="s">
        <v>510</v>
      </c>
      <c r="F1286" t="s">
        <v>368</v>
      </c>
      <c r="G1286" s="6">
        <v>10</v>
      </c>
      <c r="H1286" s="7">
        <v>0.69</v>
      </c>
      <c r="I1286" s="7">
        <v>6.9</v>
      </c>
    </row>
    <row r="1287" spans="1:9" hidden="1" x14ac:dyDescent="0.2">
      <c r="A1287" t="s">
        <v>18</v>
      </c>
      <c r="B1287" s="4" t="s">
        <v>631</v>
      </c>
      <c r="C1287" s="5">
        <v>44391</v>
      </c>
      <c r="D1287" t="s">
        <v>41</v>
      </c>
      <c r="E1287" t="s">
        <v>484</v>
      </c>
      <c r="F1287" t="s">
        <v>368</v>
      </c>
      <c r="G1287" s="6">
        <v>28</v>
      </c>
      <c r="H1287" s="7">
        <v>0.61</v>
      </c>
      <c r="I1287" s="7">
        <v>17.079999999999998</v>
      </c>
    </row>
    <row r="1288" spans="1:9" hidden="1" x14ac:dyDescent="0.2">
      <c r="A1288" t="s">
        <v>18</v>
      </c>
      <c r="B1288" s="4" t="s">
        <v>632</v>
      </c>
      <c r="C1288" s="5">
        <v>44389</v>
      </c>
      <c r="D1288" t="s">
        <v>35</v>
      </c>
      <c r="E1288" t="s">
        <v>44</v>
      </c>
      <c r="F1288" t="s">
        <v>368</v>
      </c>
      <c r="G1288" s="6">
        <v>300</v>
      </c>
      <c r="H1288" s="7">
        <v>0.74</v>
      </c>
      <c r="I1288" s="7">
        <v>224.13</v>
      </c>
    </row>
    <row r="1289" spans="1:9" hidden="1" x14ac:dyDescent="0.2">
      <c r="A1289" t="s">
        <v>18</v>
      </c>
      <c r="B1289" s="4" t="s">
        <v>633</v>
      </c>
      <c r="C1289" s="5">
        <v>44384</v>
      </c>
      <c r="D1289" t="s">
        <v>35</v>
      </c>
      <c r="E1289" t="s">
        <v>63</v>
      </c>
      <c r="F1289" t="s">
        <v>368</v>
      </c>
      <c r="G1289" s="6">
        <v>300</v>
      </c>
      <c r="H1289" s="7">
        <v>0.16</v>
      </c>
      <c r="I1289" s="7">
        <v>50.56</v>
      </c>
    </row>
    <row r="1290" spans="1:9" hidden="1" x14ac:dyDescent="0.2">
      <c r="A1290" t="s">
        <v>18</v>
      </c>
      <c r="B1290" s="4" t="s">
        <v>633</v>
      </c>
      <c r="C1290" s="5">
        <v>44384</v>
      </c>
      <c r="D1290" t="s">
        <v>24</v>
      </c>
      <c r="E1290" t="s">
        <v>63</v>
      </c>
      <c r="F1290" t="s">
        <v>368</v>
      </c>
      <c r="G1290" s="6">
        <v>300</v>
      </c>
      <c r="H1290" s="7">
        <v>0.04</v>
      </c>
      <c r="I1290" s="7">
        <v>11.76</v>
      </c>
    </row>
    <row r="1291" spans="1:9" hidden="1" x14ac:dyDescent="0.2">
      <c r="A1291" t="s">
        <v>18</v>
      </c>
      <c r="B1291" s="4" t="s">
        <v>633</v>
      </c>
      <c r="C1291" s="5">
        <v>44384</v>
      </c>
      <c r="D1291" t="s">
        <v>41</v>
      </c>
      <c r="E1291" t="s">
        <v>509</v>
      </c>
      <c r="F1291" t="s">
        <v>368</v>
      </c>
      <c r="G1291" s="6">
        <v>34</v>
      </c>
      <c r="H1291" s="7">
        <v>0.4</v>
      </c>
      <c r="I1291" s="7">
        <v>13.6</v>
      </c>
    </row>
    <row r="1292" spans="1:9" hidden="1" x14ac:dyDescent="0.2">
      <c r="A1292" t="s">
        <v>18</v>
      </c>
      <c r="B1292" s="4" t="s">
        <v>634</v>
      </c>
      <c r="C1292" s="5">
        <v>44383</v>
      </c>
      <c r="D1292" t="s">
        <v>35</v>
      </c>
      <c r="E1292" t="s">
        <v>571</v>
      </c>
      <c r="F1292" t="s">
        <v>368</v>
      </c>
      <c r="G1292" s="6">
        <v>200</v>
      </c>
      <c r="H1292" s="7">
        <v>0.19</v>
      </c>
      <c r="I1292" s="7">
        <v>38.07</v>
      </c>
    </row>
    <row r="1293" spans="1:9" hidden="1" x14ac:dyDescent="0.2">
      <c r="A1293" t="s">
        <v>18</v>
      </c>
      <c r="B1293" s="4" t="s">
        <v>634</v>
      </c>
      <c r="C1293" s="5">
        <v>44383</v>
      </c>
      <c r="D1293" t="s">
        <v>35</v>
      </c>
      <c r="E1293" t="s">
        <v>571</v>
      </c>
      <c r="F1293" t="s">
        <v>368</v>
      </c>
      <c r="G1293" s="6">
        <v>200</v>
      </c>
      <c r="H1293" s="7">
        <v>0.18</v>
      </c>
      <c r="I1293" s="7">
        <v>36.33</v>
      </c>
    </row>
    <row r="1294" spans="1:9" hidden="1" x14ac:dyDescent="0.2">
      <c r="A1294" t="s">
        <v>18</v>
      </c>
      <c r="B1294" s="4" t="s">
        <v>634</v>
      </c>
      <c r="C1294" s="5">
        <v>44383</v>
      </c>
      <c r="D1294" t="s">
        <v>24</v>
      </c>
      <c r="E1294" t="s">
        <v>571</v>
      </c>
      <c r="F1294" t="s">
        <v>368</v>
      </c>
      <c r="G1294" s="6">
        <v>200</v>
      </c>
      <c r="H1294" s="7">
        <v>0.02</v>
      </c>
      <c r="I1294" s="7">
        <v>4.37</v>
      </c>
    </row>
    <row r="1295" spans="1:9" hidden="1" x14ac:dyDescent="0.2">
      <c r="A1295" t="s">
        <v>18</v>
      </c>
      <c r="B1295" s="4" t="s">
        <v>635</v>
      </c>
      <c r="C1295" s="5">
        <v>44378</v>
      </c>
      <c r="D1295" t="s">
        <v>35</v>
      </c>
      <c r="E1295" t="s">
        <v>476</v>
      </c>
      <c r="F1295" t="s">
        <v>368</v>
      </c>
      <c r="G1295" s="6">
        <v>300</v>
      </c>
      <c r="H1295" s="7">
        <v>0.02</v>
      </c>
      <c r="I1295" s="7">
        <v>6</v>
      </c>
    </row>
    <row r="1296" spans="1:9" hidden="1" x14ac:dyDescent="0.2">
      <c r="A1296" t="s">
        <v>18</v>
      </c>
      <c r="B1296" s="4" t="s">
        <v>635</v>
      </c>
      <c r="C1296" s="5">
        <v>44378</v>
      </c>
      <c r="D1296" t="s">
        <v>35</v>
      </c>
      <c r="E1296" t="s">
        <v>123</v>
      </c>
      <c r="F1296" t="s">
        <v>368</v>
      </c>
      <c r="G1296" s="6">
        <v>300</v>
      </c>
      <c r="H1296" s="7">
        <v>0.01</v>
      </c>
      <c r="I1296" s="7">
        <v>4.5</v>
      </c>
    </row>
    <row r="1297" spans="1:9" hidden="1" x14ac:dyDescent="0.2">
      <c r="A1297" t="s">
        <v>18</v>
      </c>
      <c r="B1297" s="4" t="s">
        <v>636</v>
      </c>
      <c r="C1297" s="5">
        <v>44377</v>
      </c>
      <c r="D1297" t="s">
        <v>81</v>
      </c>
      <c r="E1297" t="s">
        <v>296</v>
      </c>
      <c r="F1297" t="s">
        <v>368</v>
      </c>
      <c r="G1297" s="6">
        <v>9</v>
      </c>
      <c r="H1297" s="7">
        <v>114.88</v>
      </c>
      <c r="I1297" s="7">
        <v>1033.92</v>
      </c>
    </row>
    <row r="1298" spans="1:9" hidden="1" x14ac:dyDescent="0.2">
      <c r="A1298" t="s">
        <v>18</v>
      </c>
      <c r="B1298" s="4" t="s">
        <v>636</v>
      </c>
      <c r="C1298" s="5">
        <v>44377</v>
      </c>
      <c r="D1298" t="s">
        <v>81</v>
      </c>
      <c r="E1298" t="s">
        <v>331</v>
      </c>
      <c r="F1298" t="s">
        <v>368</v>
      </c>
      <c r="G1298" s="6">
        <v>9</v>
      </c>
      <c r="H1298" s="7">
        <v>119.05</v>
      </c>
      <c r="I1298" s="7">
        <v>1071.45</v>
      </c>
    </row>
    <row r="1299" spans="1:9" hidden="1" x14ac:dyDescent="0.2">
      <c r="A1299" t="s">
        <v>18</v>
      </c>
      <c r="B1299" s="4" t="s">
        <v>636</v>
      </c>
      <c r="C1299" s="5">
        <v>44377</v>
      </c>
      <c r="D1299" t="s">
        <v>81</v>
      </c>
      <c r="E1299" t="s">
        <v>297</v>
      </c>
      <c r="F1299" t="s">
        <v>368</v>
      </c>
      <c r="G1299" s="6">
        <v>11</v>
      </c>
      <c r="H1299" s="7">
        <v>91.98</v>
      </c>
      <c r="I1299" s="7">
        <v>1011.84</v>
      </c>
    </row>
    <row r="1300" spans="1:9" hidden="1" x14ac:dyDescent="0.2">
      <c r="A1300" t="s">
        <v>18</v>
      </c>
      <c r="B1300" s="4" t="s">
        <v>636</v>
      </c>
      <c r="C1300" s="5">
        <v>44377</v>
      </c>
      <c r="D1300" t="s">
        <v>81</v>
      </c>
      <c r="E1300" t="s">
        <v>328</v>
      </c>
      <c r="F1300" t="s">
        <v>368</v>
      </c>
      <c r="G1300" s="6">
        <v>10</v>
      </c>
      <c r="H1300" s="7">
        <v>99.06</v>
      </c>
      <c r="I1300" s="7">
        <v>990.6</v>
      </c>
    </row>
    <row r="1301" spans="1:9" hidden="1" x14ac:dyDescent="0.2">
      <c r="A1301" t="s">
        <v>18</v>
      </c>
      <c r="B1301" s="4" t="s">
        <v>636</v>
      </c>
      <c r="C1301" s="5">
        <v>44377</v>
      </c>
      <c r="D1301" t="s">
        <v>24</v>
      </c>
      <c r="E1301" t="s">
        <v>350</v>
      </c>
      <c r="F1301" t="s">
        <v>368</v>
      </c>
      <c r="G1301" s="6">
        <v>200</v>
      </c>
      <c r="H1301" s="7">
        <v>0.05</v>
      </c>
      <c r="I1301" s="7">
        <v>8.5</v>
      </c>
    </row>
    <row r="1302" spans="1:9" hidden="1" x14ac:dyDescent="0.2">
      <c r="A1302" t="s">
        <v>18</v>
      </c>
      <c r="B1302" s="4" t="s">
        <v>636</v>
      </c>
      <c r="C1302" s="5">
        <v>44377</v>
      </c>
      <c r="D1302" t="s">
        <v>81</v>
      </c>
      <c r="E1302" t="s">
        <v>329</v>
      </c>
      <c r="F1302" t="s">
        <v>368</v>
      </c>
      <c r="G1302" s="6">
        <v>14</v>
      </c>
      <c r="H1302" s="7">
        <v>75.099999999999994</v>
      </c>
      <c r="I1302" s="7">
        <v>1051.4100000000001</v>
      </c>
    </row>
    <row r="1303" spans="1:9" hidden="1" x14ac:dyDescent="0.2">
      <c r="A1303" t="s">
        <v>18</v>
      </c>
      <c r="B1303" s="4" t="s">
        <v>636</v>
      </c>
      <c r="C1303" s="5">
        <v>44377</v>
      </c>
      <c r="D1303" t="s">
        <v>35</v>
      </c>
      <c r="E1303" t="s">
        <v>76</v>
      </c>
      <c r="F1303" t="s">
        <v>368</v>
      </c>
      <c r="G1303" s="6">
        <v>50</v>
      </c>
      <c r="H1303" s="7">
        <v>1.46</v>
      </c>
      <c r="I1303" s="7">
        <v>73.459999999999994</v>
      </c>
    </row>
    <row r="1304" spans="1:9" hidden="1" x14ac:dyDescent="0.2">
      <c r="A1304" t="s">
        <v>18</v>
      </c>
      <c r="B1304" s="4" t="s">
        <v>636</v>
      </c>
      <c r="C1304" s="5">
        <v>44377</v>
      </c>
      <c r="D1304" t="s">
        <v>35</v>
      </c>
      <c r="E1304" t="s">
        <v>76</v>
      </c>
      <c r="F1304" t="s">
        <v>368</v>
      </c>
      <c r="G1304" s="6">
        <v>50</v>
      </c>
      <c r="H1304" s="7">
        <v>0.72</v>
      </c>
      <c r="I1304" s="7">
        <v>36.020000000000003</v>
      </c>
    </row>
    <row r="1305" spans="1:9" x14ac:dyDescent="0.2">
      <c r="A1305" t="s">
        <v>18</v>
      </c>
      <c r="B1305" s="4" t="s">
        <v>637</v>
      </c>
      <c r="C1305" s="5">
        <v>44375</v>
      </c>
      <c r="D1305" t="s">
        <v>28</v>
      </c>
      <c r="E1305" t="s">
        <v>625</v>
      </c>
      <c r="F1305" t="s">
        <v>368</v>
      </c>
      <c r="G1305" s="6">
        <v>14</v>
      </c>
      <c r="H1305" s="7" t="s">
        <v>17</v>
      </c>
      <c r="I1305" s="7" t="s">
        <v>17</v>
      </c>
    </row>
    <row r="1306" spans="1:9" hidden="1" x14ac:dyDescent="0.2">
      <c r="A1306" t="s">
        <v>18</v>
      </c>
      <c r="B1306" s="4" t="s">
        <v>638</v>
      </c>
      <c r="C1306" s="5">
        <v>44372</v>
      </c>
      <c r="D1306" t="s">
        <v>41</v>
      </c>
      <c r="E1306" t="s">
        <v>486</v>
      </c>
      <c r="F1306" t="s">
        <v>368</v>
      </c>
      <c r="G1306" s="6">
        <v>28</v>
      </c>
      <c r="H1306" s="7">
        <v>0.4</v>
      </c>
      <c r="I1306" s="7">
        <v>11.2</v>
      </c>
    </row>
    <row r="1307" spans="1:9" hidden="1" x14ac:dyDescent="0.2">
      <c r="A1307" t="s">
        <v>18</v>
      </c>
      <c r="B1307" s="4" t="s">
        <v>639</v>
      </c>
      <c r="C1307" s="5">
        <v>44370</v>
      </c>
      <c r="D1307" t="s">
        <v>35</v>
      </c>
      <c r="E1307" t="s">
        <v>393</v>
      </c>
      <c r="F1307" t="s">
        <v>368</v>
      </c>
      <c r="G1307" s="6">
        <v>400</v>
      </c>
      <c r="H1307" s="7">
        <v>0.72</v>
      </c>
      <c r="I1307" s="7">
        <v>291.5</v>
      </c>
    </row>
    <row r="1308" spans="1:9" hidden="1" x14ac:dyDescent="0.2">
      <c r="A1308" t="s">
        <v>18</v>
      </c>
      <c r="B1308" s="4" t="s">
        <v>640</v>
      </c>
      <c r="C1308" s="5">
        <v>44365</v>
      </c>
      <c r="D1308" t="s">
        <v>41</v>
      </c>
      <c r="E1308" t="s">
        <v>328</v>
      </c>
      <c r="F1308" t="s">
        <v>368</v>
      </c>
      <c r="G1308" s="6">
        <v>42</v>
      </c>
      <c r="H1308" s="7">
        <v>0.9</v>
      </c>
      <c r="I1308" s="7">
        <v>37.799999999999997</v>
      </c>
    </row>
    <row r="1309" spans="1:9" hidden="1" x14ac:dyDescent="0.2">
      <c r="A1309" t="s">
        <v>18</v>
      </c>
      <c r="B1309" s="4" t="s">
        <v>641</v>
      </c>
      <c r="C1309" s="5">
        <v>44364</v>
      </c>
      <c r="D1309" t="s">
        <v>41</v>
      </c>
      <c r="E1309" t="s">
        <v>331</v>
      </c>
      <c r="F1309" t="s">
        <v>368</v>
      </c>
      <c r="G1309" s="6">
        <v>32</v>
      </c>
      <c r="H1309" s="7">
        <v>1.1499999999999999</v>
      </c>
      <c r="I1309" s="7">
        <v>36.909999999999997</v>
      </c>
    </row>
    <row r="1310" spans="1:9" hidden="1" x14ac:dyDescent="0.2">
      <c r="A1310" t="s">
        <v>18</v>
      </c>
      <c r="B1310" s="4" t="s">
        <v>642</v>
      </c>
      <c r="C1310" s="5">
        <v>44362</v>
      </c>
      <c r="D1310" t="s">
        <v>41</v>
      </c>
      <c r="E1310" t="s">
        <v>284</v>
      </c>
      <c r="F1310" t="s">
        <v>368</v>
      </c>
      <c r="G1310" s="6">
        <v>14</v>
      </c>
      <c r="H1310" s="7">
        <v>1</v>
      </c>
      <c r="I1310" s="7">
        <v>14</v>
      </c>
    </row>
    <row r="1311" spans="1:9" hidden="1" x14ac:dyDescent="0.2">
      <c r="A1311" t="s">
        <v>18</v>
      </c>
      <c r="B1311" s="4" t="s">
        <v>642</v>
      </c>
      <c r="C1311" s="5">
        <v>44362</v>
      </c>
      <c r="D1311" t="s">
        <v>41</v>
      </c>
      <c r="E1311" t="s">
        <v>296</v>
      </c>
      <c r="F1311" t="s">
        <v>368</v>
      </c>
      <c r="G1311" s="6">
        <v>31</v>
      </c>
      <c r="H1311" s="7">
        <v>0.7</v>
      </c>
      <c r="I1311" s="7">
        <v>21.7</v>
      </c>
    </row>
    <row r="1312" spans="1:9" hidden="1" x14ac:dyDescent="0.2">
      <c r="A1312" t="s">
        <v>18</v>
      </c>
      <c r="B1312" s="4" t="s">
        <v>642</v>
      </c>
      <c r="C1312" s="5">
        <v>44362</v>
      </c>
      <c r="D1312" t="s">
        <v>41</v>
      </c>
      <c r="E1312" t="s">
        <v>510</v>
      </c>
      <c r="F1312" t="s">
        <v>368</v>
      </c>
      <c r="G1312" s="6">
        <v>10</v>
      </c>
      <c r="H1312" s="7">
        <v>0.69</v>
      </c>
      <c r="I1312" s="7">
        <v>6.9</v>
      </c>
    </row>
    <row r="1313" spans="1:9" hidden="1" x14ac:dyDescent="0.2">
      <c r="A1313" t="s">
        <v>18</v>
      </c>
      <c r="B1313" s="4" t="s">
        <v>642</v>
      </c>
      <c r="C1313" s="5">
        <v>44362</v>
      </c>
      <c r="D1313" t="s">
        <v>41</v>
      </c>
      <c r="E1313" t="s">
        <v>297</v>
      </c>
      <c r="F1313" t="s">
        <v>368</v>
      </c>
      <c r="G1313" s="6">
        <v>34</v>
      </c>
      <c r="H1313" s="7">
        <v>0.45</v>
      </c>
      <c r="I1313" s="7">
        <v>15.3</v>
      </c>
    </row>
    <row r="1314" spans="1:9" hidden="1" x14ac:dyDescent="0.2">
      <c r="A1314" t="s">
        <v>18</v>
      </c>
      <c r="B1314" s="4" t="s">
        <v>642</v>
      </c>
      <c r="C1314" s="5">
        <v>44362</v>
      </c>
      <c r="D1314" t="s">
        <v>41</v>
      </c>
      <c r="E1314" t="s">
        <v>329</v>
      </c>
      <c r="F1314" t="s">
        <v>368</v>
      </c>
      <c r="G1314" s="6">
        <v>34</v>
      </c>
      <c r="H1314" s="7">
        <v>0.32</v>
      </c>
      <c r="I1314" s="7">
        <v>10.88</v>
      </c>
    </row>
    <row r="1315" spans="1:9" hidden="1" x14ac:dyDescent="0.2">
      <c r="A1315" t="s">
        <v>18</v>
      </c>
      <c r="B1315" s="4" t="s">
        <v>642</v>
      </c>
      <c r="C1315" s="5">
        <v>44362</v>
      </c>
      <c r="D1315" t="s">
        <v>41</v>
      </c>
      <c r="E1315" t="s">
        <v>630</v>
      </c>
      <c r="F1315" t="s">
        <v>368</v>
      </c>
      <c r="G1315" s="6">
        <v>25</v>
      </c>
      <c r="H1315" s="7">
        <v>0.56999999999999995</v>
      </c>
      <c r="I1315" s="7">
        <v>14.25</v>
      </c>
    </row>
    <row r="1316" spans="1:9" hidden="1" x14ac:dyDescent="0.2">
      <c r="A1316" t="s">
        <v>18</v>
      </c>
      <c r="B1316" s="4" t="s">
        <v>642</v>
      </c>
      <c r="C1316" s="5">
        <v>44362</v>
      </c>
      <c r="D1316" t="s">
        <v>41</v>
      </c>
      <c r="E1316" t="s">
        <v>512</v>
      </c>
      <c r="F1316" t="s">
        <v>368</v>
      </c>
      <c r="G1316" s="6">
        <v>28</v>
      </c>
      <c r="H1316" s="7">
        <v>0.35</v>
      </c>
      <c r="I1316" s="7">
        <v>9.8000000000000007</v>
      </c>
    </row>
    <row r="1317" spans="1:9" hidden="1" x14ac:dyDescent="0.2">
      <c r="A1317" t="s">
        <v>18</v>
      </c>
      <c r="B1317" s="4" t="s">
        <v>642</v>
      </c>
      <c r="C1317" s="5">
        <v>44362</v>
      </c>
      <c r="D1317" t="s">
        <v>41</v>
      </c>
      <c r="E1317" t="s">
        <v>484</v>
      </c>
      <c r="F1317" t="s">
        <v>368</v>
      </c>
      <c r="G1317" s="6">
        <v>28</v>
      </c>
      <c r="H1317" s="7">
        <v>0.61</v>
      </c>
      <c r="I1317" s="7">
        <v>17.079999999999998</v>
      </c>
    </row>
    <row r="1318" spans="1:9" hidden="1" x14ac:dyDescent="0.2">
      <c r="A1318" t="s">
        <v>18</v>
      </c>
      <c r="B1318" s="4" t="s">
        <v>643</v>
      </c>
      <c r="C1318" s="5">
        <v>44355</v>
      </c>
      <c r="D1318" t="s">
        <v>41</v>
      </c>
      <c r="E1318" t="s">
        <v>509</v>
      </c>
      <c r="F1318" t="s">
        <v>368</v>
      </c>
      <c r="G1318" s="6">
        <v>34</v>
      </c>
      <c r="H1318" s="7">
        <v>0.35</v>
      </c>
      <c r="I1318" s="7">
        <v>11.9</v>
      </c>
    </row>
    <row r="1319" spans="1:9" hidden="1" x14ac:dyDescent="0.2">
      <c r="A1319" t="s">
        <v>18</v>
      </c>
      <c r="B1319" s="4" t="s">
        <v>644</v>
      </c>
      <c r="C1319" s="5">
        <v>44348</v>
      </c>
      <c r="D1319" t="s">
        <v>35</v>
      </c>
      <c r="E1319" t="s">
        <v>123</v>
      </c>
      <c r="F1319" t="s">
        <v>368</v>
      </c>
      <c r="G1319" s="6">
        <v>300</v>
      </c>
      <c r="H1319" s="7">
        <v>0.01</v>
      </c>
      <c r="I1319" s="7">
        <v>4.5</v>
      </c>
    </row>
    <row r="1320" spans="1:9" hidden="1" x14ac:dyDescent="0.2">
      <c r="A1320" t="s">
        <v>18</v>
      </c>
      <c r="B1320" s="4" t="s">
        <v>645</v>
      </c>
      <c r="C1320" s="5">
        <v>44344</v>
      </c>
      <c r="D1320" t="s">
        <v>35</v>
      </c>
      <c r="E1320" t="s">
        <v>36</v>
      </c>
      <c r="F1320" t="s">
        <v>368</v>
      </c>
      <c r="G1320" s="6">
        <v>100</v>
      </c>
      <c r="H1320" s="7">
        <v>0.37</v>
      </c>
      <c r="I1320" s="7">
        <v>37.86</v>
      </c>
    </row>
    <row r="1321" spans="1:9" hidden="1" x14ac:dyDescent="0.2">
      <c r="A1321" t="s">
        <v>18</v>
      </c>
      <c r="B1321" s="4" t="s">
        <v>645</v>
      </c>
      <c r="C1321" s="5">
        <v>44344</v>
      </c>
      <c r="D1321" t="s">
        <v>24</v>
      </c>
      <c r="E1321" t="s">
        <v>36</v>
      </c>
      <c r="F1321" t="s">
        <v>368</v>
      </c>
      <c r="G1321" s="6">
        <v>100</v>
      </c>
      <c r="H1321" s="7">
        <v>0.55000000000000004</v>
      </c>
      <c r="I1321" s="7">
        <v>46.79</v>
      </c>
    </row>
    <row r="1322" spans="1:9" hidden="1" x14ac:dyDescent="0.2">
      <c r="A1322" t="s">
        <v>18</v>
      </c>
      <c r="B1322" s="4" t="s">
        <v>646</v>
      </c>
      <c r="C1322" s="5">
        <v>44343</v>
      </c>
      <c r="D1322" t="s">
        <v>24</v>
      </c>
      <c r="E1322" t="s">
        <v>37</v>
      </c>
      <c r="F1322" t="s">
        <v>368</v>
      </c>
      <c r="G1322" s="6">
        <v>200</v>
      </c>
      <c r="H1322" s="7">
        <v>0.18</v>
      </c>
      <c r="I1322" s="7">
        <v>32.08</v>
      </c>
    </row>
    <row r="1323" spans="1:9" hidden="1" x14ac:dyDescent="0.2">
      <c r="A1323" t="s">
        <v>18</v>
      </c>
      <c r="B1323" s="4" t="s">
        <v>646</v>
      </c>
      <c r="C1323" s="5">
        <v>44343</v>
      </c>
      <c r="D1323" t="s">
        <v>35</v>
      </c>
      <c r="E1323" t="s">
        <v>37</v>
      </c>
      <c r="F1323" t="s">
        <v>368</v>
      </c>
      <c r="G1323" s="6">
        <v>200</v>
      </c>
      <c r="H1323" s="7">
        <v>1.63</v>
      </c>
      <c r="I1323" s="7">
        <v>326.23</v>
      </c>
    </row>
    <row r="1324" spans="1:9" hidden="1" x14ac:dyDescent="0.2">
      <c r="A1324" t="s">
        <v>18</v>
      </c>
      <c r="B1324" s="4" t="s">
        <v>646</v>
      </c>
      <c r="C1324" s="5">
        <v>44343</v>
      </c>
      <c r="D1324" t="s">
        <v>35</v>
      </c>
      <c r="E1324" t="s">
        <v>37</v>
      </c>
      <c r="F1324" t="s">
        <v>368</v>
      </c>
      <c r="G1324" s="6">
        <v>200</v>
      </c>
      <c r="H1324" s="7">
        <v>1.1599999999999999</v>
      </c>
      <c r="I1324" s="7">
        <v>233.13</v>
      </c>
    </row>
    <row r="1325" spans="1:9" hidden="1" x14ac:dyDescent="0.2">
      <c r="A1325" t="s">
        <v>18</v>
      </c>
      <c r="B1325" s="4" t="s">
        <v>647</v>
      </c>
      <c r="C1325" s="5">
        <v>44341</v>
      </c>
      <c r="D1325" t="s">
        <v>41</v>
      </c>
      <c r="E1325" t="s">
        <v>486</v>
      </c>
      <c r="F1325" t="s">
        <v>368</v>
      </c>
      <c r="G1325" s="6">
        <v>28</v>
      </c>
      <c r="H1325" s="7">
        <v>0.3</v>
      </c>
      <c r="I1325" s="7">
        <v>8.4</v>
      </c>
    </row>
    <row r="1326" spans="1:9" hidden="1" x14ac:dyDescent="0.2">
      <c r="A1326" t="s">
        <v>18</v>
      </c>
      <c r="B1326" s="4" t="s">
        <v>648</v>
      </c>
      <c r="C1326" s="5">
        <v>44335</v>
      </c>
      <c r="D1326" t="s">
        <v>41</v>
      </c>
      <c r="E1326" t="s">
        <v>328</v>
      </c>
      <c r="F1326" t="s">
        <v>368</v>
      </c>
      <c r="G1326" s="6">
        <v>42</v>
      </c>
      <c r="H1326" s="7">
        <v>0.7</v>
      </c>
      <c r="I1326" s="7">
        <v>29.4</v>
      </c>
    </row>
    <row r="1327" spans="1:9" hidden="1" x14ac:dyDescent="0.2">
      <c r="A1327" t="s">
        <v>18</v>
      </c>
      <c r="B1327" s="4" t="s">
        <v>649</v>
      </c>
      <c r="C1327" s="5">
        <v>44334</v>
      </c>
      <c r="D1327" t="s">
        <v>309</v>
      </c>
      <c r="E1327" t="s">
        <v>63</v>
      </c>
      <c r="F1327" t="s">
        <v>368</v>
      </c>
      <c r="G1327" s="6">
        <v>200</v>
      </c>
      <c r="H1327" s="7" t="s">
        <v>17</v>
      </c>
      <c r="I1327" s="7" t="s">
        <v>17</v>
      </c>
    </row>
    <row r="1328" spans="1:9" hidden="1" x14ac:dyDescent="0.2">
      <c r="A1328" s="1" t="s">
        <v>18</v>
      </c>
      <c r="B1328" s="8" t="s">
        <v>649</v>
      </c>
      <c r="C1328" s="9">
        <v>44334</v>
      </c>
      <c r="D1328" s="1" t="s">
        <v>31</v>
      </c>
      <c r="E1328" s="1" t="s">
        <v>331</v>
      </c>
      <c r="F1328" s="1" t="s">
        <v>368</v>
      </c>
      <c r="G1328" s="10">
        <v>7</v>
      </c>
      <c r="H1328" s="11" t="s">
        <v>17</v>
      </c>
      <c r="I1328" s="11" t="s">
        <v>17</v>
      </c>
    </row>
    <row r="1329" spans="1:9" hidden="1" x14ac:dyDescent="0.2">
      <c r="A1329" t="s">
        <v>18</v>
      </c>
      <c r="B1329" s="4" t="s">
        <v>649</v>
      </c>
      <c r="C1329" s="5">
        <v>44334</v>
      </c>
      <c r="D1329" t="s">
        <v>41</v>
      </c>
      <c r="E1329" t="s">
        <v>331</v>
      </c>
      <c r="F1329" t="s">
        <v>368</v>
      </c>
      <c r="G1329" s="6">
        <v>25</v>
      </c>
      <c r="H1329" s="7">
        <v>1.1499999999999999</v>
      </c>
      <c r="I1329" s="7">
        <v>28.97</v>
      </c>
    </row>
    <row r="1330" spans="1:9" hidden="1" x14ac:dyDescent="0.2">
      <c r="A1330" t="s">
        <v>18</v>
      </c>
      <c r="B1330" s="4" t="s">
        <v>649</v>
      </c>
      <c r="C1330" s="5">
        <v>44334</v>
      </c>
      <c r="D1330" t="s">
        <v>41</v>
      </c>
      <c r="E1330" t="s">
        <v>596</v>
      </c>
      <c r="F1330" t="s">
        <v>368</v>
      </c>
      <c r="G1330" s="6">
        <v>7</v>
      </c>
      <c r="H1330" s="7">
        <v>1.1499999999999999</v>
      </c>
      <c r="I1330" s="7">
        <v>8.11</v>
      </c>
    </row>
    <row r="1331" spans="1:9" hidden="1" x14ac:dyDescent="0.2">
      <c r="A1331" t="s">
        <v>18</v>
      </c>
      <c r="B1331" s="4" t="s">
        <v>650</v>
      </c>
      <c r="C1331" s="5">
        <v>44330</v>
      </c>
      <c r="D1331" t="s">
        <v>41</v>
      </c>
      <c r="E1331" t="s">
        <v>284</v>
      </c>
      <c r="F1331" t="s">
        <v>368</v>
      </c>
      <c r="G1331" s="6">
        <v>14</v>
      </c>
      <c r="H1331" s="7">
        <v>0.78</v>
      </c>
      <c r="I1331" s="7">
        <v>10.92</v>
      </c>
    </row>
    <row r="1332" spans="1:9" hidden="1" x14ac:dyDescent="0.2">
      <c r="A1332" t="s">
        <v>18</v>
      </c>
      <c r="B1332" s="4" t="s">
        <v>650</v>
      </c>
      <c r="C1332" s="5">
        <v>44330</v>
      </c>
      <c r="D1332" t="s">
        <v>41</v>
      </c>
      <c r="E1332" t="s">
        <v>296</v>
      </c>
      <c r="F1332" t="s">
        <v>368</v>
      </c>
      <c r="G1332" s="6">
        <v>31</v>
      </c>
      <c r="H1332" s="7">
        <v>0.68</v>
      </c>
      <c r="I1332" s="7">
        <v>21.08</v>
      </c>
    </row>
    <row r="1333" spans="1:9" hidden="1" x14ac:dyDescent="0.2">
      <c r="A1333" t="s">
        <v>18</v>
      </c>
      <c r="B1333" s="4" t="s">
        <v>650</v>
      </c>
      <c r="C1333" s="5">
        <v>44330</v>
      </c>
      <c r="D1333" t="s">
        <v>41</v>
      </c>
      <c r="E1333" t="s">
        <v>510</v>
      </c>
      <c r="F1333" t="s">
        <v>368</v>
      </c>
      <c r="G1333" s="6">
        <v>10</v>
      </c>
      <c r="H1333" s="7">
        <v>0.69</v>
      </c>
      <c r="I1333" s="7">
        <v>6.9</v>
      </c>
    </row>
    <row r="1334" spans="1:9" hidden="1" x14ac:dyDescent="0.2">
      <c r="A1334" t="s">
        <v>18</v>
      </c>
      <c r="B1334" s="4" t="s">
        <v>650</v>
      </c>
      <c r="C1334" s="5">
        <v>44330</v>
      </c>
      <c r="D1334" t="s">
        <v>41</v>
      </c>
      <c r="E1334" t="s">
        <v>297</v>
      </c>
      <c r="F1334" t="s">
        <v>368</v>
      </c>
      <c r="G1334" s="6">
        <v>34</v>
      </c>
      <c r="H1334" s="7">
        <v>0.4</v>
      </c>
      <c r="I1334" s="7">
        <v>13.6</v>
      </c>
    </row>
    <row r="1335" spans="1:9" hidden="1" x14ac:dyDescent="0.2">
      <c r="A1335" t="s">
        <v>18</v>
      </c>
      <c r="B1335" s="4" t="s">
        <v>650</v>
      </c>
      <c r="C1335" s="5">
        <v>44330</v>
      </c>
      <c r="D1335" t="s">
        <v>41</v>
      </c>
      <c r="E1335" t="s">
        <v>329</v>
      </c>
      <c r="F1335" t="s">
        <v>368</v>
      </c>
      <c r="G1335" s="6">
        <v>34</v>
      </c>
      <c r="H1335" s="7">
        <v>0.3</v>
      </c>
      <c r="I1335" s="7">
        <v>10.199999999999999</v>
      </c>
    </row>
    <row r="1336" spans="1:9" hidden="1" x14ac:dyDescent="0.2">
      <c r="A1336" t="s">
        <v>18</v>
      </c>
      <c r="B1336" s="4" t="s">
        <v>650</v>
      </c>
      <c r="C1336" s="5">
        <v>44330</v>
      </c>
      <c r="D1336" t="s">
        <v>41</v>
      </c>
      <c r="E1336" t="s">
        <v>630</v>
      </c>
      <c r="F1336" t="s">
        <v>368</v>
      </c>
      <c r="G1336" s="6">
        <v>25</v>
      </c>
      <c r="H1336" s="7">
        <v>0.5</v>
      </c>
      <c r="I1336" s="7">
        <v>12.5</v>
      </c>
    </row>
    <row r="1337" spans="1:9" hidden="1" x14ac:dyDescent="0.2">
      <c r="A1337" t="s">
        <v>18</v>
      </c>
      <c r="B1337" s="4" t="s">
        <v>650</v>
      </c>
      <c r="C1337" s="5">
        <v>44330</v>
      </c>
      <c r="D1337" t="s">
        <v>41</v>
      </c>
      <c r="E1337" t="s">
        <v>512</v>
      </c>
      <c r="F1337" t="s">
        <v>368</v>
      </c>
      <c r="G1337" s="6">
        <v>28</v>
      </c>
      <c r="H1337" s="7">
        <v>0.25</v>
      </c>
      <c r="I1337" s="7">
        <v>7</v>
      </c>
    </row>
    <row r="1338" spans="1:9" hidden="1" x14ac:dyDescent="0.2">
      <c r="A1338" t="s">
        <v>18</v>
      </c>
      <c r="B1338" s="4" t="s">
        <v>650</v>
      </c>
      <c r="C1338" s="5">
        <v>44330</v>
      </c>
      <c r="D1338" t="s">
        <v>41</v>
      </c>
      <c r="E1338" t="s">
        <v>484</v>
      </c>
      <c r="F1338" t="s">
        <v>368</v>
      </c>
      <c r="G1338" s="6">
        <v>28</v>
      </c>
      <c r="H1338" s="7">
        <v>0.6</v>
      </c>
      <c r="I1338" s="7">
        <v>16.8</v>
      </c>
    </row>
    <row r="1339" spans="1:9" hidden="1" x14ac:dyDescent="0.2">
      <c r="A1339" t="s">
        <v>18</v>
      </c>
      <c r="B1339" s="4" t="s">
        <v>651</v>
      </c>
      <c r="C1339" s="5">
        <v>44327</v>
      </c>
      <c r="D1339" t="s">
        <v>81</v>
      </c>
      <c r="E1339" t="s">
        <v>508</v>
      </c>
      <c r="F1339" t="s">
        <v>368</v>
      </c>
      <c r="G1339" s="6">
        <v>400</v>
      </c>
      <c r="H1339" s="7">
        <v>8.58</v>
      </c>
      <c r="I1339" s="7">
        <v>3432</v>
      </c>
    </row>
    <row r="1340" spans="1:9" hidden="1" x14ac:dyDescent="0.2">
      <c r="A1340" t="s">
        <v>18</v>
      </c>
      <c r="B1340" s="4" t="s">
        <v>652</v>
      </c>
      <c r="C1340" s="5">
        <v>44323</v>
      </c>
      <c r="D1340" t="s">
        <v>35</v>
      </c>
      <c r="E1340" t="s">
        <v>63</v>
      </c>
      <c r="F1340" t="s">
        <v>368</v>
      </c>
      <c r="G1340" s="6">
        <v>100</v>
      </c>
      <c r="H1340" s="7">
        <v>0.57999999999999996</v>
      </c>
      <c r="I1340" s="7">
        <v>58.57</v>
      </c>
    </row>
    <row r="1341" spans="1:9" hidden="1" x14ac:dyDescent="0.2">
      <c r="A1341" t="s">
        <v>18</v>
      </c>
      <c r="B1341" s="4" t="s">
        <v>652</v>
      </c>
      <c r="C1341" s="5">
        <v>44323</v>
      </c>
      <c r="D1341" t="s">
        <v>41</v>
      </c>
      <c r="E1341" t="s">
        <v>509</v>
      </c>
      <c r="F1341" t="s">
        <v>368</v>
      </c>
      <c r="G1341" s="6">
        <v>34</v>
      </c>
      <c r="H1341" s="7">
        <v>0.22</v>
      </c>
      <c r="I1341" s="7">
        <v>7.48</v>
      </c>
    </row>
    <row r="1342" spans="1:9" hidden="1" x14ac:dyDescent="0.2">
      <c r="A1342" t="s">
        <v>18</v>
      </c>
      <c r="B1342" s="4" t="s">
        <v>653</v>
      </c>
      <c r="C1342" s="5">
        <v>44322</v>
      </c>
      <c r="D1342" t="s">
        <v>81</v>
      </c>
      <c r="E1342" t="s">
        <v>44</v>
      </c>
      <c r="F1342" t="s">
        <v>368</v>
      </c>
      <c r="G1342" s="6">
        <v>100</v>
      </c>
      <c r="H1342" s="7">
        <v>40.28</v>
      </c>
      <c r="I1342" s="7">
        <v>4028</v>
      </c>
    </row>
    <row r="1343" spans="1:9" hidden="1" x14ac:dyDescent="0.2">
      <c r="A1343" t="s">
        <v>18</v>
      </c>
      <c r="B1343" s="4" t="s">
        <v>653</v>
      </c>
      <c r="C1343" s="5">
        <v>44322</v>
      </c>
      <c r="D1343" t="s">
        <v>81</v>
      </c>
      <c r="E1343" t="s">
        <v>350</v>
      </c>
      <c r="F1343" t="s">
        <v>368</v>
      </c>
      <c r="G1343" s="6">
        <v>100</v>
      </c>
      <c r="H1343" s="7">
        <v>25.97</v>
      </c>
      <c r="I1343" s="7">
        <v>2597</v>
      </c>
    </row>
    <row r="1344" spans="1:9" hidden="1" x14ac:dyDescent="0.2">
      <c r="A1344" t="s">
        <v>18</v>
      </c>
      <c r="B1344" s="4" t="s">
        <v>654</v>
      </c>
      <c r="C1344" s="5">
        <v>44321</v>
      </c>
      <c r="D1344" t="s">
        <v>24</v>
      </c>
      <c r="E1344" t="s">
        <v>172</v>
      </c>
      <c r="F1344" t="s">
        <v>368</v>
      </c>
      <c r="G1344" s="6">
        <v>400</v>
      </c>
      <c r="H1344" s="7">
        <v>0.02</v>
      </c>
      <c r="I1344" s="7">
        <v>8.9499999999999993</v>
      </c>
    </row>
    <row r="1345" spans="1:9" hidden="1" x14ac:dyDescent="0.2">
      <c r="A1345" t="s">
        <v>18</v>
      </c>
      <c r="B1345" s="4" t="s">
        <v>655</v>
      </c>
      <c r="C1345" s="5">
        <v>44319</v>
      </c>
      <c r="D1345" t="s">
        <v>35</v>
      </c>
      <c r="E1345" t="s">
        <v>123</v>
      </c>
      <c r="F1345" t="s">
        <v>368</v>
      </c>
      <c r="G1345" s="6">
        <v>300</v>
      </c>
      <c r="H1345" s="7">
        <v>0.01</v>
      </c>
      <c r="I1345" s="7">
        <v>4.5</v>
      </c>
    </row>
    <row r="1346" spans="1:9" hidden="1" x14ac:dyDescent="0.2">
      <c r="A1346" t="s">
        <v>18</v>
      </c>
      <c r="B1346" s="4" t="s">
        <v>655</v>
      </c>
      <c r="C1346" s="5">
        <v>44319</v>
      </c>
      <c r="D1346" t="s">
        <v>24</v>
      </c>
      <c r="E1346" t="s">
        <v>350</v>
      </c>
      <c r="F1346" t="s">
        <v>368</v>
      </c>
      <c r="G1346" s="6">
        <v>100</v>
      </c>
      <c r="H1346" s="7">
        <v>0.45</v>
      </c>
      <c r="I1346" s="7">
        <v>38.869999999999997</v>
      </c>
    </row>
    <row r="1347" spans="1:9" hidden="1" x14ac:dyDescent="0.2">
      <c r="A1347" t="s">
        <v>18</v>
      </c>
      <c r="B1347" s="4" t="s">
        <v>656</v>
      </c>
      <c r="C1347" s="5">
        <v>44316</v>
      </c>
      <c r="D1347" t="s">
        <v>81</v>
      </c>
      <c r="E1347" t="s">
        <v>657</v>
      </c>
      <c r="F1347" t="s">
        <v>368</v>
      </c>
      <c r="G1347" s="6">
        <v>200</v>
      </c>
      <c r="H1347" s="7">
        <v>22.91</v>
      </c>
      <c r="I1347" s="7">
        <v>4582</v>
      </c>
    </row>
    <row r="1348" spans="1:9" hidden="1" x14ac:dyDescent="0.2">
      <c r="A1348" t="s">
        <v>18</v>
      </c>
      <c r="B1348" s="4" t="s">
        <v>656</v>
      </c>
      <c r="C1348" s="5">
        <v>44316</v>
      </c>
      <c r="D1348" t="s">
        <v>81</v>
      </c>
      <c r="E1348" t="s">
        <v>76</v>
      </c>
      <c r="F1348" t="s">
        <v>368</v>
      </c>
      <c r="G1348" s="6">
        <v>50</v>
      </c>
      <c r="H1348" s="7">
        <v>112.1</v>
      </c>
      <c r="I1348" s="7">
        <v>5605</v>
      </c>
    </row>
    <row r="1349" spans="1:9" hidden="1" x14ac:dyDescent="0.2">
      <c r="A1349" t="s">
        <v>18</v>
      </c>
      <c r="B1349" s="4" t="s">
        <v>658</v>
      </c>
      <c r="C1349" s="5">
        <v>44315</v>
      </c>
      <c r="D1349" t="s">
        <v>41</v>
      </c>
      <c r="E1349" t="s">
        <v>32</v>
      </c>
      <c r="F1349" t="s">
        <v>368</v>
      </c>
      <c r="G1349" s="6">
        <v>1600</v>
      </c>
      <c r="H1349" s="7">
        <v>0.01</v>
      </c>
      <c r="I1349" s="7">
        <v>6.69</v>
      </c>
    </row>
    <row r="1350" spans="1:9" hidden="1" x14ac:dyDescent="0.2">
      <c r="A1350" t="s">
        <v>18</v>
      </c>
      <c r="B1350" s="4" t="s">
        <v>658</v>
      </c>
      <c r="C1350" s="5">
        <v>44315</v>
      </c>
      <c r="D1350" t="s">
        <v>35</v>
      </c>
      <c r="E1350" t="s">
        <v>32</v>
      </c>
      <c r="F1350" t="s">
        <v>368</v>
      </c>
      <c r="G1350" s="6">
        <v>1600</v>
      </c>
      <c r="H1350" s="7">
        <v>0.79</v>
      </c>
      <c r="I1350" s="7">
        <v>1259.9100000000001</v>
      </c>
    </row>
    <row r="1351" spans="1:9" hidden="1" x14ac:dyDescent="0.2">
      <c r="A1351" t="s">
        <v>18</v>
      </c>
      <c r="B1351" s="4" t="s">
        <v>658</v>
      </c>
      <c r="C1351" s="5">
        <v>44315</v>
      </c>
      <c r="D1351" t="s">
        <v>309</v>
      </c>
      <c r="E1351" t="s">
        <v>129</v>
      </c>
      <c r="F1351" t="s">
        <v>368</v>
      </c>
      <c r="G1351" s="6">
        <v>200</v>
      </c>
      <c r="H1351" s="7" t="s">
        <v>17</v>
      </c>
      <c r="I1351" s="7" t="s">
        <v>17</v>
      </c>
    </row>
    <row r="1352" spans="1:9" hidden="1" x14ac:dyDescent="0.2">
      <c r="A1352" t="s">
        <v>18</v>
      </c>
      <c r="B1352" s="4" t="s">
        <v>658</v>
      </c>
      <c r="C1352" s="5">
        <v>44315</v>
      </c>
      <c r="D1352" t="s">
        <v>309</v>
      </c>
      <c r="E1352" t="s">
        <v>129</v>
      </c>
      <c r="F1352" t="s">
        <v>16</v>
      </c>
      <c r="G1352" s="6">
        <v>200</v>
      </c>
      <c r="H1352" s="7" t="s">
        <v>17</v>
      </c>
      <c r="I1352" s="7" t="s">
        <v>17</v>
      </c>
    </row>
    <row r="1353" spans="1:9" hidden="1" x14ac:dyDescent="0.2">
      <c r="A1353" t="s">
        <v>18</v>
      </c>
      <c r="B1353" s="4" t="s">
        <v>659</v>
      </c>
      <c r="C1353" s="5">
        <v>44309</v>
      </c>
      <c r="D1353" t="s">
        <v>41</v>
      </c>
      <c r="E1353" t="s">
        <v>486</v>
      </c>
      <c r="F1353" t="s">
        <v>368</v>
      </c>
      <c r="G1353" s="6">
        <v>28</v>
      </c>
      <c r="H1353" s="7">
        <v>0.15</v>
      </c>
      <c r="I1353" s="7">
        <v>4.2</v>
      </c>
    </row>
    <row r="1354" spans="1:9" hidden="1" x14ac:dyDescent="0.2">
      <c r="A1354" t="s">
        <v>18</v>
      </c>
      <c r="B1354" s="4" t="s">
        <v>660</v>
      </c>
      <c r="C1354" s="5">
        <v>44308</v>
      </c>
      <c r="D1354" t="s">
        <v>24</v>
      </c>
      <c r="E1354" t="s">
        <v>661</v>
      </c>
      <c r="F1354" t="s">
        <v>368</v>
      </c>
      <c r="G1354" s="6">
        <v>100</v>
      </c>
      <c r="H1354" s="7">
        <v>0.05</v>
      </c>
      <c r="I1354" s="7">
        <v>4.25</v>
      </c>
    </row>
    <row r="1355" spans="1:9" hidden="1" x14ac:dyDescent="0.2">
      <c r="A1355" t="s">
        <v>8</v>
      </c>
      <c r="B1355" s="4" t="s">
        <v>660</v>
      </c>
      <c r="C1355" s="5">
        <v>44308</v>
      </c>
      <c r="D1355" t="s">
        <v>81</v>
      </c>
      <c r="E1355" t="s">
        <v>32</v>
      </c>
      <c r="F1355" t="s">
        <v>368</v>
      </c>
      <c r="G1355" s="6">
        <v>800</v>
      </c>
      <c r="H1355" s="7">
        <v>24.63</v>
      </c>
      <c r="I1355" s="7">
        <v>19704</v>
      </c>
    </row>
    <row r="1356" spans="1:9" hidden="1" x14ac:dyDescent="0.2">
      <c r="A1356" t="s">
        <v>18</v>
      </c>
      <c r="B1356" s="4" t="s">
        <v>662</v>
      </c>
      <c r="C1356" s="5">
        <v>44306</v>
      </c>
      <c r="D1356" t="s">
        <v>41</v>
      </c>
      <c r="E1356" t="s">
        <v>328</v>
      </c>
      <c r="F1356" t="s">
        <v>368</v>
      </c>
      <c r="G1356" s="6">
        <v>42</v>
      </c>
      <c r="H1356" s="7">
        <v>0.7</v>
      </c>
      <c r="I1356" s="7">
        <v>29.4</v>
      </c>
    </row>
    <row r="1357" spans="1:9" hidden="1" x14ac:dyDescent="0.2">
      <c r="A1357" t="s">
        <v>18</v>
      </c>
      <c r="B1357" s="4" t="s">
        <v>663</v>
      </c>
      <c r="C1357" s="5">
        <v>44305</v>
      </c>
      <c r="D1357" t="s">
        <v>41</v>
      </c>
      <c r="E1357" t="s">
        <v>331</v>
      </c>
      <c r="F1357" t="s">
        <v>368</v>
      </c>
      <c r="G1357" s="6">
        <v>25</v>
      </c>
      <c r="H1357" s="7">
        <v>1.28</v>
      </c>
      <c r="I1357" s="7">
        <v>32.1</v>
      </c>
    </row>
    <row r="1358" spans="1:9" hidden="1" x14ac:dyDescent="0.2">
      <c r="A1358" t="s">
        <v>18</v>
      </c>
      <c r="B1358" s="4" t="s">
        <v>663</v>
      </c>
      <c r="C1358" s="5">
        <v>44305</v>
      </c>
      <c r="D1358" t="s">
        <v>41</v>
      </c>
      <c r="E1358" t="s">
        <v>596</v>
      </c>
      <c r="F1358" t="s">
        <v>368</v>
      </c>
      <c r="G1358" s="6">
        <v>7</v>
      </c>
      <c r="H1358" s="7">
        <v>0.03</v>
      </c>
      <c r="I1358" s="7">
        <v>0.2</v>
      </c>
    </row>
    <row r="1359" spans="1:9" hidden="1" x14ac:dyDescent="0.2">
      <c r="A1359" t="s">
        <v>18</v>
      </c>
      <c r="B1359" s="4" t="s">
        <v>664</v>
      </c>
      <c r="C1359" s="5">
        <v>44301</v>
      </c>
      <c r="D1359" t="s">
        <v>41</v>
      </c>
      <c r="E1359" t="s">
        <v>665</v>
      </c>
      <c r="F1359" t="s">
        <v>368</v>
      </c>
      <c r="G1359" s="6">
        <v>14</v>
      </c>
      <c r="H1359" s="7">
        <v>0.78</v>
      </c>
      <c r="I1359" s="7">
        <v>10.92</v>
      </c>
    </row>
    <row r="1360" spans="1:9" hidden="1" x14ac:dyDescent="0.2">
      <c r="A1360" t="s">
        <v>18</v>
      </c>
      <c r="B1360" s="4" t="s">
        <v>664</v>
      </c>
      <c r="C1360" s="5">
        <v>44301</v>
      </c>
      <c r="D1360" t="s">
        <v>41</v>
      </c>
      <c r="E1360" t="s">
        <v>296</v>
      </c>
      <c r="F1360" t="s">
        <v>368</v>
      </c>
      <c r="G1360" s="6">
        <v>31</v>
      </c>
      <c r="H1360" s="7">
        <v>0.68</v>
      </c>
      <c r="I1360" s="7">
        <v>21.08</v>
      </c>
    </row>
    <row r="1361" spans="1:9" hidden="1" x14ac:dyDescent="0.2">
      <c r="A1361" t="s">
        <v>18</v>
      </c>
      <c r="B1361" s="4" t="s">
        <v>664</v>
      </c>
      <c r="C1361" s="5">
        <v>44301</v>
      </c>
      <c r="D1361" t="s">
        <v>41</v>
      </c>
      <c r="E1361" t="s">
        <v>510</v>
      </c>
      <c r="F1361" t="s">
        <v>368</v>
      </c>
      <c r="G1361" s="6">
        <v>10</v>
      </c>
      <c r="H1361" s="7">
        <v>0.69</v>
      </c>
      <c r="I1361" s="7">
        <v>6.9</v>
      </c>
    </row>
    <row r="1362" spans="1:9" hidden="1" x14ac:dyDescent="0.2">
      <c r="A1362" t="s">
        <v>18</v>
      </c>
      <c r="B1362" s="4" t="s">
        <v>664</v>
      </c>
      <c r="C1362" s="5">
        <v>44301</v>
      </c>
      <c r="D1362" t="s">
        <v>41</v>
      </c>
      <c r="E1362" t="s">
        <v>666</v>
      </c>
      <c r="F1362" t="s">
        <v>368</v>
      </c>
      <c r="G1362" s="6">
        <v>34</v>
      </c>
      <c r="H1362" s="7">
        <v>0.45</v>
      </c>
      <c r="I1362" s="7">
        <v>15.3</v>
      </c>
    </row>
    <row r="1363" spans="1:9" hidden="1" x14ac:dyDescent="0.2">
      <c r="A1363" t="s">
        <v>18</v>
      </c>
      <c r="B1363" s="4" t="s">
        <v>664</v>
      </c>
      <c r="C1363" s="5">
        <v>44301</v>
      </c>
      <c r="D1363" t="s">
        <v>41</v>
      </c>
      <c r="E1363" t="s">
        <v>329</v>
      </c>
      <c r="F1363" t="s">
        <v>368</v>
      </c>
      <c r="G1363" s="6">
        <v>34</v>
      </c>
      <c r="H1363" s="7">
        <v>0.5</v>
      </c>
      <c r="I1363" s="7">
        <v>17</v>
      </c>
    </row>
    <row r="1364" spans="1:9" hidden="1" x14ac:dyDescent="0.2">
      <c r="A1364" t="s">
        <v>18</v>
      </c>
      <c r="B1364" s="4" t="s">
        <v>664</v>
      </c>
      <c r="C1364" s="5">
        <v>44301</v>
      </c>
      <c r="D1364" t="s">
        <v>41</v>
      </c>
      <c r="E1364" t="s">
        <v>630</v>
      </c>
      <c r="F1364" t="s">
        <v>368</v>
      </c>
      <c r="G1364" s="6">
        <v>25</v>
      </c>
      <c r="H1364" s="7">
        <v>0.45</v>
      </c>
      <c r="I1364" s="7">
        <v>11.25</v>
      </c>
    </row>
    <row r="1365" spans="1:9" hidden="1" x14ac:dyDescent="0.2">
      <c r="A1365" t="s">
        <v>18</v>
      </c>
      <c r="B1365" s="4" t="s">
        <v>664</v>
      </c>
      <c r="C1365" s="5">
        <v>44301</v>
      </c>
      <c r="D1365" t="s">
        <v>41</v>
      </c>
      <c r="E1365" t="s">
        <v>512</v>
      </c>
      <c r="F1365" t="s">
        <v>368</v>
      </c>
      <c r="G1365" s="6">
        <v>28</v>
      </c>
      <c r="H1365" s="7">
        <v>0.18</v>
      </c>
      <c r="I1365" s="7">
        <v>5.04</v>
      </c>
    </row>
    <row r="1366" spans="1:9" hidden="1" x14ac:dyDescent="0.2">
      <c r="A1366" t="s">
        <v>18</v>
      </c>
      <c r="B1366" s="4" t="s">
        <v>664</v>
      </c>
      <c r="C1366" s="5">
        <v>44301</v>
      </c>
      <c r="D1366" t="s">
        <v>41</v>
      </c>
      <c r="E1366" t="s">
        <v>484</v>
      </c>
      <c r="F1366" t="s">
        <v>368</v>
      </c>
      <c r="G1366" s="6">
        <v>28</v>
      </c>
      <c r="H1366" s="7">
        <v>0.59</v>
      </c>
      <c r="I1366" s="7">
        <v>16.52</v>
      </c>
    </row>
    <row r="1367" spans="1:9" hidden="1" x14ac:dyDescent="0.2">
      <c r="A1367" s="1" t="s">
        <v>18</v>
      </c>
      <c r="B1367" s="8" t="s">
        <v>667</v>
      </c>
      <c r="C1367" s="9">
        <v>44299</v>
      </c>
      <c r="D1367" s="1" t="s">
        <v>31</v>
      </c>
      <c r="E1367" s="1" t="s">
        <v>32</v>
      </c>
      <c r="F1367" s="1" t="s">
        <v>368</v>
      </c>
      <c r="G1367" s="10">
        <v>1600</v>
      </c>
      <c r="H1367" s="11" t="s">
        <v>17</v>
      </c>
      <c r="I1367" s="11" t="s">
        <v>17</v>
      </c>
    </row>
    <row r="1368" spans="1:9" hidden="1" x14ac:dyDescent="0.2">
      <c r="A1368" t="s">
        <v>18</v>
      </c>
      <c r="B1368" s="4" t="s">
        <v>668</v>
      </c>
      <c r="C1368" s="5">
        <v>44294</v>
      </c>
      <c r="D1368" t="s">
        <v>35</v>
      </c>
      <c r="E1368" t="s">
        <v>669</v>
      </c>
      <c r="F1368" t="s">
        <v>368</v>
      </c>
      <c r="G1368" s="6">
        <v>100</v>
      </c>
      <c r="H1368" s="7">
        <v>0.39</v>
      </c>
      <c r="I1368" s="7">
        <v>39.31</v>
      </c>
    </row>
    <row r="1369" spans="1:9" hidden="1" x14ac:dyDescent="0.2">
      <c r="A1369" t="s">
        <v>18</v>
      </c>
      <c r="B1369" s="4" t="s">
        <v>668</v>
      </c>
      <c r="C1369" s="5">
        <v>44294</v>
      </c>
      <c r="D1369" t="s">
        <v>24</v>
      </c>
      <c r="E1369" t="s">
        <v>669</v>
      </c>
      <c r="F1369" t="s">
        <v>368</v>
      </c>
      <c r="G1369" s="6">
        <v>100</v>
      </c>
      <c r="H1369" s="7">
        <v>0.11</v>
      </c>
      <c r="I1369" s="7">
        <v>9.73</v>
      </c>
    </row>
    <row r="1370" spans="1:9" hidden="1" x14ac:dyDescent="0.2">
      <c r="A1370" t="s">
        <v>18</v>
      </c>
      <c r="B1370" s="4" t="s">
        <v>668</v>
      </c>
      <c r="C1370" s="5">
        <v>44294</v>
      </c>
      <c r="D1370" t="s">
        <v>41</v>
      </c>
      <c r="E1370" t="s">
        <v>670</v>
      </c>
      <c r="F1370" t="s">
        <v>368</v>
      </c>
      <c r="G1370" s="6">
        <v>34</v>
      </c>
      <c r="H1370" s="7">
        <v>0.16</v>
      </c>
      <c r="I1370" s="7">
        <v>5.44</v>
      </c>
    </row>
    <row r="1371" spans="1:9" hidden="1" x14ac:dyDescent="0.2">
      <c r="A1371" t="s">
        <v>18</v>
      </c>
      <c r="B1371" s="4" t="s">
        <v>671</v>
      </c>
      <c r="C1371" s="5">
        <v>44292</v>
      </c>
      <c r="D1371" t="s">
        <v>24</v>
      </c>
      <c r="E1371" t="s">
        <v>571</v>
      </c>
      <c r="F1371" t="s">
        <v>368</v>
      </c>
      <c r="G1371" s="6">
        <v>200</v>
      </c>
      <c r="H1371" s="7">
        <v>0.02</v>
      </c>
      <c r="I1371" s="7">
        <v>4.16</v>
      </c>
    </row>
    <row r="1372" spans="1:9" hidden="1" x14ac:dyDescent="0.2">
      <c r="A1372" t="s">
        <v>18</v>
      </c>
      <c r="B1372" s="4" t="s">
        <v>672</v>
      </c>
      <c r="C1372" s="5">
        <v>44291</v>
      </c>
      <c r="D1372" t="s">
        <v>24</v>
      </c>
      <c r="E1372" t="s">
        <v>44</v>
      </c>
      <c r="F1372" t="s">
        <v>368</v>
      </c>
      <c r="G1372" s="6">
        <v>200</v>
      </c>
      <c r="H1372" s="7">
        <v>0.21</v>
      </c>
      <c r="I1372" s="7">
        <v>36.46</v>
      </c>
    </row>
    <row r="1373" spans="1:9" hidden="1" x14ac:dyDescent="0.2">
      <c r="A1373" t="s">
        <v>18</v>
      </c>
      <c r="B1373" s="4" t="s">
        <v>673</v>
      </c>
      <c r="C1373" s="5">
        <v>44287</v>
      </c>
      <c r="D1373" t="s">
        <v>35</v>
      </c>
      <c r="E1373" t="s">
        <v>57</v>
      </c>
      <c r="F1373" t="s">
        <v>368</v>
      </c>
      <c r="G1373" s="6">
        <v>100</v>
      </c>
      <c r="H1373" s="7">
        <v>0.49</v>
      </c>
      <c r="I1373" s="7">
        <v>49.43</v>
      </c>
    </row>
    <row r="1374" spans="1:9" hidden="1" x14ac:dyDescent="0.2">
      <c r="A1374" t="s">
        <v>18</v>
      </c>
      <c r="B1374" s="4" t="s">
        <v>673</v>
      </c>
      <c r="C1374" s="5">
        <v>44287</v>
      </c>
      <c r="D1374" t="s">
        <v>35</v>
      </c>
      <c r="E1374" t="s">
        <v>476</v>
      </c>
      <c r="F1374" t="s">
        <v>368</v>
      </c>
      <c r="G1374" s="6">
        <v>300</v>
      </c>
      <c r="H1374" s="7">
        <v>0.02</v>
      </c>
      <c r="I1374" s="7">
        <v>6</v>
      </c>
    </row>
    <row r="1375" spans="1:9" hidden="1" x14ac:dyDescent="0.2">
      <c r="A1375" t="s">
        <v>18</v>
      </c>
      <c r="B1375" s="4" t="s">
        <v>673</v>
      </c>
      <c r="C1375" s="5">
        <v>44287</v>
      </c>
      <c r="D1375" t="s">
        <v>35</v>
      </c>
      <c r="E1375" t="s">
        <v>123</v>
      </c>
      <c r="F1375" t="s">
        <v>368</v>
      </c>
      <c r="G1375" s="6">
        <v>300</v>
      </c>
      <c r="H1375" s="7">
        <v>0.02</v>
      </c>
      <c r="I1375" s="7">
        <v>4.5</v>
      </c>
    </row>
    <row r="1376" spans="1:9" hidden="1" x14ac:dyDescent="0.2">
      <c r="A1376" t="s">
        <v>18</v>
      </c>
      <c r="B1376" s="4" t="s">
        <v>674</v>
      </c>
      <c r="C1376" s="5">
        <v>44280</v>
      </c>
      <c r="D1376" t="s">
        <v>41</v>
      </c>
      <c r="E1376" t="s">
        <v>486</v>
      </c>
      <c r="F1376" t="s">
        <v>368</v>
      </c>
      <c r="G1376" s="6">
        <v>28</v>
      </c>
      <c r="H1376" s="7">
        <v>0.25</v>
      </c>
      <c r="I1376" s="7">
        <v>7</v>
      </c>
    </row>
    <row r="1377" spans="1:9" x14ac:dyDescent="0.2">
      <c r="A1377" t="s">
        <v>8</v>
      </c>
      <c r="B1377" s="4" t="s">
        <v>675</v>
      </c>
      <c r="C1377" s="5">
        <v>44279</v>
      </c>
      <c r="D1377" t="s">
        <v>14</v>
      </c>
      <c r="E1377" t="s">
        <v>483</v>
      </c>
      <c r="F1377" t="s">
        <v>368</v>
      </c>
      <c r="G1377" s="6">
        <v>0</v>
      </c>
      <c r="H1377" s="7" t="s">
        <v>17</v>
      </c>
      <c r="I1377" s="7" t="s">
        <v>17</v>
      </c>
    </row>
    <row r="1378" spans="1:9" x14ac:dyDescent="0.2">
      <c r="A1378" t="s">
        <v>18</v>
      </c>
      <c r="B1378" s="4" t="s">
        <v>675</v>
      </c>
      <c r="C1378" s="5">
        <v>44279</v>
      </c>
      <c r="D1378" t="s">
        <v>612</v>
      </c>
      <c r="E1378" t="s">
        <v>596</v>
      </c>
      <c r="F1378" t="s">
        <v>368</v>
      </c>
      <c r="G1378" s="6">
        <v>7</v>
      </c>
      <c r="H1378" s="7" t="s">
        <v>17</v>
      </c>
      <c r="I1378" s="7" t="s">
        <v>17</v>
      </c>
    </row>
    <row r="1379" spans="1:9" x14ac:dyDescent="0.2">
      <c r="A1379" t="s">
        <v>8</v>
      </c>
      <c r="B1379" s="4" t="s">
        <v>675</v>
      </c>
      <c r="C1379" s="5">
        <v>44279</v>
      </c>
      <c r="D1379" t="s">
        <v>612</v>
      </c>
      <c r="E1379" t="s">
        <v>596</v>
      </c>
      <c r="F1379" t="s">
        <v>368</v>
      </c>
      <c r="G1379" s="6">
        <v>7</v>
      </c>
      <c r="H1379" s="7" t="s">
        <v>17</v>
      </c>
      <c r="I1379" s="7" t="s">
        <v>17</v>
      </c>
    </row>
    <row r="1380" spans="1:9" x14ac:dyDescent="0.2">
      <c r="A1380" t="s">
        <v>8</v>
      </c>
      <c r="B1380" s="4" t="s">
        <v>676</v>
      </c>
      <c r="C1380" s="5">
        <v>44278</v>
      </c>
      <c r="D1380" t="s">
        <v>614</v>
      </c>
      <c r="E1380" t="s">
        <v>483</v>
      </c>
      <c r="F1380" t="s">
        <v>368</v>
      </c>
      <c r="G1380" s="6">
        <v>7</v>
      </c>
      <c r="H1380" s="7" t="s">
        <v>17</v>
      </c>
      <c r="I1380" s="7" t="s">
        <v>17</v>
      </c>
    </row>
    <row r="1381" spans="1:9" x14ac:dyDescent="0.2">
      <c r="A1381" t="s">
        <v>8</v>
      </c>
      <c r="B1381" s="4" t="s">
        <v>676</v>
      </c>
      <c r="C1381" s="5">
        <v>44278</v>
      </c>
      <c r="D1381" t="s">
        <v>615</v>
      </c>
      <c r="E1381" t="s">
        <v>483</v>
      </c>
      <c r="F1381" t="s">
        <v>368</v>
      </c>
      <c r="G1381" s="6">
        <v>7</v>
      </c>
      <c r="H1381" s="7" t="s">
        <v>17</v>
      </c>
      <c r="I1381" s="7" t="s">
        <v>17</v>
      </c>
    </row>
    <row r="1382" spans="1:9" hidden="1" x14ac:dyDescent="0.2">
      <c r="A1382" t="s">
        <v>18</v>
      </c>
      <c r="B1382" s="4" t="s">
        <v>677</v>
      </c>
      <c r="C1382" s="5">
        <v>44272</v>
      </c>
      <c r="D1382" t="s">
        <v>41</v>
      </c>
      <c r="E1382" t="s">
        <v>328</v>
      </c>
      <c r="F1382" t="s">
        <v>368</v>
      </c>
      <c r="G1382" s="6">
        <v>42</v>
      </c>
      <c r="H1382" s="7">
        <v>0.7</v>
      </c>
      <c r="I1382" s="7">
        <v>29.4</v>
      </c>
    </row>
    <row r="1383" spans="1:9" hidden="1" x14ac:dyDescent="0.2">
      <c r="A1383" t="s">
        <v>8</v>
      </c>
      <c r="B1383" s="4" t="s">
        <v>678</v>
      </c>
      <c r="C1383" s="5">
        <v>44271</v>
      </c>
      <c r="D1383" t="s">
        <v>81</v>
      </c>
      <c r="E1383" t="s">
        <v>679</v>
      </c>
      <c r="F1383" t="s">
        <v>368</v>
      </c>
      <c r="G1383" s="6">
        <v>500</v>
      </c>
      <c r="H1383" s="7">
        <v>6.17</v>
      </c>
      <c r="I1383" s="7">
        <v>3085</v>
      </c>
    </row>
    <row r="1384" spans="1:9" hidden="1" x14ac:dyDescent="0.2">
      <c r="A1384" t="s">
        <v>18</v>
      </c>
      <c r="B1384" s="4" t="s">
        <v>678</v>
      </c>
      <c r="C1384" s="5">
        <v>44271</v>
      </c>
      <c r="D1384" t="s">
        <v>41</v>
      </c>
      <c r="E1384" t="s">
        <v>331</v>
      </c>
      <c r="F1384" t="s">
        <v>368</v>
      </c>
      <c r="G1384" s="6">
        <v>25</v>
      </c>
      <c r="H1384" s="7">
        <v>1.23</v>
      </c>
      <c r="I1384" s="7">
        <v>30.75</v>
      </c>
    </row>
    <row r="1385" spans="1:9" hidden="1" x14ac:dyDescent="0.2">
      <c r="A1385" t="s">
        <v>18</v>
      </c>
      <c r="B1385" s="4" t="s">
        <v>680</v>
      </c>
      <c r="C1385" s="5">
        <v>44267</v>
      </c>
      <c r="D1385" t="s">
        <v>41</v>
      </c>
      <c r="E1385" t="s">
        <v>665</v>
      </c>
      <c r="F1385" t="s">
        <v>368</v>
      </c>
      <c r="G1385" s="6">
        <v>14</v>
      </c>
      <c r="H1385" s="7">
        <v>0.78</v>
      </c>
      <c r="I1385" s="7">
        <v>10.92</v>
      </c>
    </row>
    <row r="1386" spans="1:9" hidden="1" x14ac:dyDescent="0.2">
      <c r="A1386" t="s">
        <v>18</v>
      </c>
      <c r="B1386" s="4" t="s">
        <v>680</v>
      </c>
      <c r="C1386" s="5">
        <v>44267</v>
      </c>
      <c r="D1386" t="s">
        <v>41</v>
      </c>
      <c r="E1386" t="s">
        <v>296</v>
      </c>
      <c r="F1386" t="s">
        <v>368</v>
      </c>
      <c r="G1386" s="6">
        <v>31</v>
      </c>
      <c r="H1386" s="7">
        <v>0.68</v>
      </c>
      <c r="I1386" s="7">
        <v>21.08</v>
      </c>
    </row>
    <row r="1387" spans="1:9" hidden="1" x14ac:dyDescent="0.2">
      <c r="A1387" t="s">
        <v>18</v>
      </c>
      <c r="B1387" s="4" t="s">
        <v>680</v>
      </c>
      <c r="C1387" s="5">
        <v>44267</v>
      </c>
      <c r="D1387" t="s">
        <v>24</v>
      </c>
      <c r="E1387" t="s">
        <v>476</v>
      </c>
      <c r="F1387" t="s">
        <v>368</v>
      </c>
      <c r="G1387" s="6">
        <v>300</v>
      </c>
      <c r="H1387" s="7">
        <v>0.1</v>
      </c>
      <c r="I1387" s="7">
        <v>25.92</v>
      </c>
    </row>
    <row r="1388" spans="1:9" hidden="1" x14ac:dyDescent="0.2">
      <c r="A1388" t="s">
        <v>18</v>
      </c>
      <c r="B1388" s="4" t="s">
        <v>680</v>
      </c>
      <c r="C1388" s="5">
        <v>44267</v>
      </c>
      <c r="D1388" t="s">
        <v>24</v>
      </c>
      <c r="E1388" t="s">
        <v>476</v>
      </c>
      <c r="F1388" t="s">
        <v>368</v>
      </c>
      <c r="G1388" s="6">
        <v>300</v>
      </c>
      <c r="H1388" s="7">
        <v>0.02</v>
      </c>
      <c r="I1388" s="7">
        <v>5.31</v>
      </c>
    </row>
    <row r="1389" spans="1:9" hidden="1" x14ac:dyDescent="0.2">
      <c r="A1389" t="s">
        <v>18</v>
      </c>
      <c r="B1389" s="4" t="s">
        <v>680</v>
      </c>
      <c r="C1389" s="5">
        <v>44267</v>
      </c>
      <c r="D1389" t="s">
        <v>35</v>
      </c>
      <c r="E1389" t="s">
        <v>123</v>
      </c>
      <c r="F1389" t="s">
        <v>368</v>
      </c>
      <c r="G1389" s="6">
        <v>300</v>
      </c>
      <c r="H1389" s="7">
        <v>0.1</v>
      </c>
      <c r="I1389" s="7">
        <v>28.92</v>
      </c>
    </row>
    <row r="1390" spans="1:9" hidden="1" x14ac:dyDescent="0.2">
      <c r="A1390" t="s">
        <v>18</v>
      </c>
      <c r="B1390" s="4" t="s">
        <v>680</v>
      </c>
      <c r="C1390" s="5">
        <v>44267</v>
      </c>
      <c r="D1390" t="s">
        <v>24</v>
      </c>
      <c r="E1390" t="s">
        <v>123</v>
      </c>
      <c r="F1390" t="s">
        <v>368</v>
      </c>
      <c r="G1390" s="6">
        <v>300</v>
      </c>
      <c r="H1390" s="7">
        <v>0.05</v>
      </c>
      <c r="I1390" s="7">
        <v>12.79</v>
      </c>
    </row>
    <row r="1391" spans="1:9" hidden="1" x14ac:dyDescent="0.2">
      <c r="A1391" t="s">
        <v>18</v>
      </c>
      <c r="B1391" s="4" t="s">
        <v>680</v>
      </c>
      <c r="C1391" s="5">
        <v>44267</v>
      </c>
      <c r="D1391" t="s">
        <v>24</v>
      </c>
      <c r="E1391" t="s">
        <v>123</v>
      </c>
      <c r="F1391" t="s">
        <v>368</v>
      </c>
      <c r="G1391" s="6">
        <v>300</v>
      </c>
      <c r="H1391" s="7">
        <v>0.05</v>
      </c>
      <c r="I1391" s="7">
        <v>12.9</v>
      </c>
    </row>
    <row r="1392" spans="1:9" hidden="1" x14ac:dyDescent="0.2">
      <c r="A1392" t="s">
        <v>18</v>
      </c>
      <c r="B1392" s="4" t="s">
        <v>680</v>
      </c>
      <c r="C1392" s="5">
        <v>44267</v>
      </c>
      <c r="D1392" t="s">
        <v>24</v>
      </c>
      <c r="E1392" t="s">
        <v>123</v>
      </c>
      <c r="F1392" t="s">
        <v>368</v>
      </c>
      <c r="G1392" s="6">
        <v>300</v>
      </c>
      <c r="H1392" s="7">
        <v>0.06</v>
      </c>
      <c r="I1392" s="7">
        <v>16.309999999999999</v>
      </c>
    </row>
    <row r="1393" spans="1:9" hidden="1" x14ac:dyDescent="0.2">
      <c r="A1393" t="s">
        <v>18</v>
      </c>
      <c r="B1393" s="4" t="s">
        <v>680</v>
      </c>
      <c r="C1393" s="5">
        <v>44267</v>
      </c>
      <c r="D1393" t="s">
        <v>41</v>
      </c>
      <c r="E1393" t="s">
        <v>510</v>
      </c>
      <c r="F1393" t="s">
        <v>368</v>
      </c>
      <c r="G1393" s="6">
        <v>10</v>
      </c>
      <c r="H1393" s="7">
        <v>0.69</v>
      </c>
      <c r="I1393" s="7">
        <v>6.9</v>
      </c>
    </row>
    <row r="1394" spans="1:9" hidden="1" x14ac:dyDescent="0.2">
      <c r="A1394" t="s">
        <v>18</v>
      </c>
      <c r="B1394" s="4" t="s">
        <v>680</v>
      </c>
      <c r="C1394" s="5">
        <v>44267</v>
      </c>
      <c r="D1394" t="s">
        <v>41</v>
      </c>
      <c r="E1394" t="s">
        <v>666</v>
      </c>
      <c r="F1394" t="s">
        <v>368</v>
      </c>
      <c r="G1394" s="6">
        <v>34</v>
      </c>
      <c r="H1394" s="7">
        <v>0.6</v>
      </c>
      <c r="I1394" s="7">
        <v>20.399999999999999</v>
      </c>
    </row>
    <row r="1395" spans="1:9" hidden="1" x14ac:dyDescent="0.2">
      <c r="A1395" t="s">
        <v>18</v>
      </c>
      <c r="B1395" s="4" t="s">
        <v>680</v>
      </c>
      <c r="C1395" s="5">
        <v>44267</v>
      </c>
      <c r="D1395" t="s">
        <v>41</v>
      </c>
      <c r="E1395" t="s">
        <v>329</v>
      </c>
      <c r="F1395" t="s">
        <v>368</v>
      </c>
      <c r="G1395" s="6">
        <v>34</v>
      </c>
      <c r="H1395" s="7">
        <v>0.52</v>
      </c>
      <c r="I1395" s="7">
        <v>17.68</v>
      </c>
    </row>
    <row r="1396" spans="1:9" hidden="1" x14ac:dyDescent="0.2">
      <c r="A1396" t="s">
        <v>18</v>
      </c>
      <c r="B1396" s="4" t="s">
        <v>680</v>
      </c>
      <c r="C1396" s="5">
        <v>44267</v>
      </c>
      <c r="D1396" t="s">
        <v>41</v>
      </c>
      <c r="E1396" t="s">
        <v>630</v>
      </c>
      <c r="F1396" t="s">
        <v>368</v>
      </c>
      <c r="G1396" s="6">
        <v>25</v>
      </c>
      <c r="H1396" s="7">
        <v>0.6</v>
      </c>
      <c r="I1396" s="7">
        <v>15</v>
      </c>
    </row>
    <row r="1397" spans="1:9" hidden="1" x14ac:dyDescent="0.2">
      <c r="A1397" t="s">
        <v>18</v>
      </c>
      <c r="B1397" s="4" t="s">
        <v>680</v>
      </c>
      <c r="C1397" s="5">
        <v>44267</v>
      </c>
      <c r="D1397" t="s">
        <v>41</v>
      </c>
      <c r="E1397" t="s">
        <v>512</v>
      </c>
      <c r="F1397" t="s">
        <v>368</v>
      </c>
      <c r="G1397" s="6">
        <v>28</v>
      </c>
      <c r="H1397" s="7">
        <v>0.55000000000000004</v>
      </c>
      <c r="I1397" s="7">
        <v>15.4</v>
      </c>
    </row>
    <row r="1398" spans="1:9" hidden="1" x14ac:dyDescent="0.2">
      <c r="A1398" t="s">
        <v>18</v>
      </c>
      <c r="B1398" s="4" t="s">
        <v>680</v>
      </c>
      <c r="C1398" s="5">
        <v>44267</v>
      </c>
      <c r="D1398" t="s">
        <v>41</v>
      </c>
      <c r="E1398" t="s">
        <v>484</v>
      </c>
      <c r="F1398" t="s">
        <v>368</v>
      </c>
      <c r="G1398" s="6">
        <v>28</v>
      </c>
      <c r="H1398" s="7">
        <v>0.57999999999999996</v>
      </c>
      <c r="I1398" s="7">
        <v>16.239999999999998</v>
      </c>
    </row>
    <row r="1399" spans="1:9" x14ac:dyDescent="0.2">
      <c r="A1399" t="s">
        <v>8</v>
      </c>
      <c r="B1399" s="4" t="s">
        <v>681</v>
      </c>
      <c r="C1399" s="5">
        <v>44266</v>
      </c>
      <c r="D1399" t="s">
        <v>14</v>
      </c>
      <c r="E1399" t="s">
        <v>682</v>
      </c>
      <c r="F1399" t="s">
        <v>368</v>
      </c>
      <c r="G1399" s="6">
        <v>0</v>
      </c>
      <c r="H1399" s="7" t="s">
        <v>17</v>
      </c>
      <c r="I1399" s="7" t="s">
        <v>17</v>
      </c>
    </row>
    <row r="1400" spans="1:9" hidden="1" x14ac:dyDescent="0.2">
      <c r="A1400" t="s">
        <v>8</v>
      </c>
      <c r="B1400" s="4" t="s">
        <v>683</v>
      </c>
      <c r="C1400" s="5">
        <v>44265</v>
      </c>
      <c r="D1400" t="s">
        <v>21</v>
      </c>
      <c r="E1400" t="s">
        <v>682</v>
      </c>
      <c r="F1400" t="s">
        <v>368</v>
      </c>
      <c r="G1400" s="6">
        <v>15</v>
      </c>
      <c r="H1400" s="7" t="s">
        <v>17</v>
      </c>
      <c r="I1400" s="7" t="s">
        <v>17</v>
      </c>
    </row>
    <row r="1401" spans="1:9" hidden="1" x14ac:dyDescent="0.2">
      <c r="A1401" t="s">
        <v>18</v>
      </c>
      <c r="B1401" s="4" t="s">
        <v>683</v>
      </c>
      <c r="C1401" s="5">
        <v>44265</v>
      </c>
      <c r="D1401" t="s">
        <v>20</v>
      </c>
      <c r="E1401" t="s">
        <v>682</v>
      </c>
      <c r="F1401" t="s">
        <v>368</v>
      </c>
      <c r="G1401" s="6">
        <v>15</v>
      </c>
      <c r="H1401" s="7" t="s">
        <v>17</v>
      </c>
      <c r="I1401" s="7" t="s">
        <v>17</v>
      </c>
    </row>
    <row r="1402" spans="1:9" hidden="1" x14ac:dyDescent="0.2">
      <c r="A1402" t="s">
        <v>18</v>
      </c>
      <c r="B1402" s="4" t="s">
        <v>683</v>
      </c>
      <c r="C1402" s="5">
        <v>44265</v>
      </c>
      <c r="D1402" t="s">
        <v>35</v>
      </c>
      <c r="E1402" t="s">
        <v>129</v>
      </c>
      <c r="F1402" t="s">
        <v>368</v>
      </c>
      <c r="G1402" s="6">
        <v>200</v>
      </c>
      <c r="H1402" s="7">
        <v>0.35</v>
      </c>
      <c r="I1402" s="7">
        <v>69.87</v>
      </c>
    </row>
    <row r="1403" spans="1:9" hidden="1" x14ac:dyDescent="0.2">
      <c r="A1403" t="s">
        <v>18</v>
      </c>
      <c r="B1403" s="4" t="s">
        <v>683</v>
      </c>
      <c r="C1403" s="5">
        <v>44265</v>
      </c>
      <c r="D1403" t="s">
        <v>24</v>
      </c>
      <c r="E1403" t="s">
        <v>129</v>
      </c>
      <c r="F1403" t="s">
        <v>368</v>
      </c>
      <c r="G1403" s="6">
        <v>200</v>
      </c>
      <c r="H1403" s="7">
        <v>0.04</v>
      </c>
      <c r="I1403" s="7">
        <v>6.27</v>
      </c>
    </row>
    <row r="1404" spans="1:9" hidden="1" x14ac:dyDescent="0.2">
      <c r="A1404" t="s">
        <v>18</v>
      </c>
      <c r="B1404" s="4" t="s">
        <v>683</v>
      </c>
      <c r="C1404" s="5">
        <v>44265</v>
      </c>
      <c r="D1404" t="s">
        <v>24</v>
      </c>
      <c r="E1404" t="s">
        <v>129</v>
      </c>
      <c r="F1404" t="s">
        <v>368</v>
      </c>
      <c r="G1404" s="6">
        <v>200</v>
      </c>
      <c r="H1404" s="7">
        <v>0.03</v>
      </c>
      <c r="I1404" s="7">
        <v>5.86</v>
      </c>
    </row>
    <row r="1405" spans="1:9" hidden="1" x14ac:dyDescent="0.2">
      <c r="A1405" t="s">
        <v>18</v>
      </c>
      <c r="B1405" s="4" t="s">
        <v>683</v>
      </c>
      <c r="C1405" s="5">
        <v>44265</v>
      </c>
      <c r="D1405" t="s">
        <v>24</v>
      </c>
      <c r="E1405" t="s">
        <v>129</v>
      </c>
      <c r="F1405" t="s">
        <v>16</v>
      </c>
      <c r="G1405" s="6">
        <v>200</v>
      </c>
      <c r="H1405" s="7">
        <v>0.03</v>
      </c>
      <c r="I1405" s="7">
        <v>5.86</v>
      </c>
    </row>
    <row r="1406" spans="1:9" hidden="1" x14ac:dyDescent="0.2">
      <c r="A1406" t="s">
        <v>18</v>
      </c>
      <c r="B1406" s="4" t="s">
        <v>683</v>
      </c>
      <c r="C1406" s="5">
        <v>44265</v>
      </c>
      <c r="D1406" t="s">
        <v>35</v>
      </c>
      <c r="E1406" t="s">
        <v>129</v>
      </c>
      <c r="F1406" t="s">
        <v>16</v>
      </c>
      <c r="G1406" s="6">
        <v>200</v>
      </c>
      <c r="H1406" s="7">
        <v>0.35</v>
      </c>
      <c r="I1406" s="7">
        <v>69.87</v>
      </c>
    </row>
    <row r="1407" spans="1:9" hidden="1" x14ac:dyDescent="0.2">
      <c r="A1407" t="s">
        <v>18</v>
      </c>
      <c r="B1407" s="4" t="s">
        <v>683</v>
      </c>
      <c r="C1407" s="5">
        <v>44265</v>
      </c>
      <c r="D1407" t="s">
        <v>24</v>
      </c>
      <c r="E1407" t="s">
        <v>129</v>
      </c>
      <c r="F1407" t="s">
        <v>16</v>
      </c>
      <c r="G1407" s="6">
        <v>200</v>
      </c>
      <c r="H1407" s="7">
        <v>0.04</v>
      </c>
      <c r="I1407" s="7">
        <v>6.27</v>
      </c>
    </row>
    <row r="1408" spans="1:9" x14ac:dyDescent="0.2">
      <c r="A1408" t="s">
        <v>18</v>
      </c>
      <c r="B1408" s="4" t="s">
        <v>684</v>
      </c>
      <c r="C1408" s="5">
        <v>44263</v>
      </c>
      <c r="D1408" t="s">
        <v>28</v>
      </c>
      <c r="E1408" t="s">
        <v>483</v>
      </c>
      <c r="F1408" t="s">
        <v>368</v>
      </c>
      <c r="G1408" s="6">
        <v>7</v>
      </c>
      <c r="H1408" s="7" t="s">
        <v>17</v>
      </c>
      <c r="I1408" s="7" t="s">
        <v>17</v>
      </c>
    </row>
    <row r="1409" spans="1:9" hidden="1" x14ac:dyDescent="0.2">
      <c r="A1409" t="s">
        <v>18</v>
      </c>
      <c r="B1409" s="4" t="s">
        <v>685</v>
      </c>
      <c r="C1409" s="5">
        <v>44260</v>
      </c>
      <c r="D1409" t="s">
        <v>24</v>
      </c>
      <c r="E1409" t="s">
        <v>57</v>
      </c>
      <c r="F1409" t="s">
        <v>368</v>
      </c>
      <c r="G1409" s="6">
        <v>100</v>
      </c>
      <c r="H1409" s="7">
        <v>0.23</v>
      </c>
      <c r="I1409" s="7">
        <v>19.95</v>
      </c>
    </row>
    <row r="1410" spans="1:9" hidden="1" x14ac:dyDescent="0.2">
      <c r="A1410" t="s">
        <v>18</v>
      </c>
      <c r="B1410" s="4" t="s">
        <v>685</v>
      </c>
      <c r="C1410" s="5">
        <v>44260</v>
      </c>
      <c r="D1410" t="s">
        <v>41</v>
      </c>
      <c r="E1410" t="s">
        <v>670</v>
      </c>
      <c r="F1410" t="s">
        <v>368</v>
      </c>
      <c r="G1410" s="6">
        <v>34</v>
      </c>
      <c r="H1410" s="7">
        <v>0.4</v>
      </c>
      <c r="I1410" s="7">
        <v>13.6</v>
      </c>
    </row>
    <row r="1411" spans="1:9" hidden="1" x14ac:dyDescent="0.2">
      <c r="A1411" t="s">
        <v>18</v>
      </c>
      <c r="B1411" s="4" t="s">
        <v>686</v>
      </c>
      <c r="C1411" s="5">
        <v>44258</v>
      </c>
      <c r="D1411" t="s">
        <v>81</v>
      </c>
      <c r="E1411" t="s">
        <v>37</v>
      </c>
      <c r="F1411" t="s">
        <v>368</v>
      </c>
      <c r="G1411" s="6">
        <v>200</v>
      </c>
      <c r="H1411" s="7">
        <v>30.33</v>
      </c>
      <c r="I1411" s="7">
        <v>6066</v>
      </c>
    </row>
    <row r="1412" spans="1:9" hidden="1" x14ac:dyDescent="0.2">
      <c r="A1412" t="s">
        <v>18</v>
      </c>
      <c r="B1412" s="4" t="s">
        <v>687</v>
      </c>
      <c r="C1412" s="5">
        <v>44256</v>
      </c>
      <c r="D1412" t="s">
        <v>35</v>
      </c>
      <c r="E1412" t="s">
        <v>123</v>
      </c>
      <c r="F1412" t="s">
        <v>368</v>
      </c>
      <c r="G1412" s="6">
        <v>300</v>
      </c>
      <c r="H1412" s="7">
        <v>0.02</v>
      </c>
      <c r="I1412" s="7">
        <v>4.5</v>
      </c>
    </row>
    <row r="1413" spans="1:9" hidden="1" x14ac:dyDescent="0.2">
      <c r="A1413" t="s">
        <v>18</v>
      </c>
      <c r="B1413" s="4" t="s">
        <v>688</v>
      </c>
      <c r="C1413" s="5">
        <v>44253</v>
      </c>
      <c r="D1413" t="s">
        <v>81</v>
      </c>
      <c r="E1413" t="s">
        <v>689</v>
      </c>
      <c r="F1413" t="s">
        <v>368</v>
      </c>
      <c r="G1413" s="6">
        <v>400</v>
      </c>
      <c r="H1413" s="7">
        <v>18.239999999999998</v>
      </c>
      <c r="I1413" s="7">
        <v>7296</v>
      </c>
    </row>
    <row r="1414" spans="1:9" hidden="1" x14ac:dyDescent="0.2">
      <c r="A1414" t="s">
        <v>18</v>
      </c>
      <c r="B1414" s="4" t="s">
        <v>690</v>
      </c>
      <c r="C1414" s="5">
        <v>44252</v>
      </c>
      <c r="D1414" t="s">
        <v>41</v>
      </c>
      <c r="E1414" t="s">
        <v>486</v>
      </c>
      <c r="F1414" t="s">
        <v>368</v>
      </c>
      <c r="G1414" s="6">
        <v>28</v>
      </c>
      <c r="H1414" s="7">
        <v>0.35</v>
      </c>
      <c r="I1414" s="7">
        <v>9.8000000000000007</v>
      </c>
    </row>
    <row r="1415" spans="1:9" x14ac:dyDescent="0.2">
      <c r="A1415" t="s">
        <v>18</v>
      </c>
      <c r="B1415" s="4" t="s">
        <v>691</v>
      </c>
      <c r="C1415" s="5">
        <v>44250</v>
      </c>
      <c r="D1415" t="s">
        <v>28</v>
      </c>
      <c r="E1415" t="s">
        <v>682</v>
      </c>
      <c r="F1415" t="s">
        <v>368</v>
      </c>
      <c r="G1415" s="6">
        <v>15</v>
      </c>
      <c r="H1415" s="7" t="s">
        <v>17</v>
      </c>
      <c r="I1415" s="7" t="s">
        <v>17</v>
      </c>
    </row>
    <row r="1416" spans="1:9" hidden="1" x14ac:dyDescent="0.2">
      <c r="A1416" t="s">
        <v>18</v>
      </c>
      <c r="B1416" s="4" t="s">
        <v>692</v>
      </c>
      <c r="C1416" s="5">
        <v>44246</v>
      </c>
      <c r="D1416" t="s">
        <v>41</v>
      </c>
      <c r="E1416" t="s">
        <v>328</v>
      </c>
      <c r="F1416" t="s">
        <v>368</v>
      </c>
      <c r="G1416" s="6">
        <v>42</v>
      </c>
      <c r="H1416" s="7">
        <v>0.7</v>
      </c>
      <c r="I1416" s="7">
        <v>29.4</v>
      </c>
    </row>
    <row r="1417" spans="1:9" hidden="1" x14ac:dyDescent="0.2">
      <c r="A1417" t="s">
        <v>18</v>
      </c>
      <c r="B1417" s="4" t="s">
        <v>693</v>
      </c>
      <c r="C1417" s="5">
        <v>44245</v>
      </c>
      <c r="D1417" t="s">
        <v>41</v>
      </c>
      <c r="E1417" t="s">
        <v>331</v>
      </c>
      <c r="F1417" t="s">
        <v>368</v>
      </c>
      <c r="G1417" s="6">
        <v>25</v>
      </c>
      <c r="H1417" s="7">
        <v>1.34</v>
      </c>
      <c r="I1417" s="7">
        <v>33.44</v>
      </c>
    </row>
    <row r="1418" spans="1:9" hidden="1" x14ac:dyDescent="0.2">
      <c r="A1418" t="s">
        <v>18</v>
      </c>
      <c r="B1418" s="4" t="s">
        <v>694</v>
      </c>
      <c r="C1418" s="5">
        <v>44239</v>
      </c>
      <c r="D1418" t="s">
        <v>41</v>
      </c>
      <c r="E1418" t="s">
        <v>665</v>
      </c>
      <c r="F1418" t="s">
        <v>368</v>
      </c>
      <c r="G1418" s="6">
        <v>14</v>
      </c>
      <c r="H1418" s="7">
        <v>0.78</v>
      </c>
      <c r="I1418" s="7">
        <v>10.92</v>
      </c>
    </row>
    <row r="1419" spans="1:9" hidden="1" x14ac:dyDescent="0.2">
      <c r="A1419" t="s">
        <v>18</v>
      </c>
      <c r="B1419" s="4" t="s">
        <v>694</v>
      </c>
      <c r="C1419" s="5">
        <v>44239</v>
      </c>
      <c r="D1419" t="s">
        <v>41</v>
      </c>
      <c r="E1419" t="s">
        <v>296</v>
      </c>
      <c r="F1419" t="s">
        <v>368</v>
      </c>
      <c r="G1419" s="6">
        <v>31</v>
      </c>
      <c r="H1419" s="7">
        <v>0.68</v>
      </c>
      <c r="I1419" s="7">
        <v>21.08</v>
      </c>
    </row>
    <row r="1420" spans="1:9" hidden="1" x14ac:dyDescent="0.2">
      <c r="A1420" t="s">
        <v>18</v>
      </c>
      <c r="B1420" s="4" t="s">
        <v>694</v>
      </c>
      <c r="C1420" s="5">
        <v>44239</v>
      </c>
      <c r="D1420" t="s">
        <v>41</v>
      </c>
      <c r="E1420" t="s">
        <v>510</v>
      </c>
      <c r="F1420" t="s">
        <v>368</v>
      </c>
      <c r="G1420" s="6">
        <v>10</v>
      </c>
      <c r="H1420" s="7">
        <v>0.69</v>
      </c>
      <c r="I1420" s="7">
        <v>6.9</v>
      </c>
    </row>
    <row r="1421" spans="1:9" hidden="1" x14ac:dyDescent="0.2">
      <c r="A1421" t="s">
        <v>18</v>
      </c>
      <c r="B1421" s="4" t="s">
        <v>694</v>
      </c>
      <c r="C1421" s="5">
        <v>44239</v>
      </c>
      <c r="D1421" t="s">
        <v>41</v>
      </c>
      <c r="E1421" t="s">
        <v>666</v>
      </c>
      <c r="F1421" t="s">
        <v>368</v>
      </c>
      <c r="G1421" s="6">
        <v>34</v>
      </c>
      <c r="H1421" s="7">
        <v>0.62</v>
      </c>
      <c r="I1421" s="7">
        <v>21.08</v>
      </c>
    </row>
    <row r="1422" spans="1:9" hidden="1" x14ac:dyDescent="0.2">
      <c r="A1422" t="s">
        <v>18</v>
      </c>
      <c r="B1422" s="4" t="s">
        <v>694</v>
      </c>
      <c r="C1422" s="5">
        <v>44239</v>
      </c>
      <c r="D1422" t="s">
        <v>41</v>
      </c>
      <c r="E1422" t="s">
        <v>329</v>
      </c>
      <c r="F1422" t="s">
        <v>368</v>
      </c>
      <c r="G1422" s="6">
        <v>34</v>
      </c>
      <c r="H1422" s="7">
        <v>0.52</v>
      </c>
      <c r="I1422" s="7">
        <v>17.68</v>
      </c>
    </row>
    <row r="1423" spans="1:9" hidden="1" x14ac:dyDescent="0.2">
      <c r="A1423" t="s">
        <v>18</v>
      </c>
      <c r="B1423" s="4" t="s">
        <v>694</v>
      </c>
      <c r="C1423" s="5">
        <v>44239</v>
      </c>
      <c r="D1423" t="s">
        <v>41</v>
      </c>
      <c r="E1423" t="s">
        <v>630</v>
      </c>
      <c r="F1423" t="s">
        <v>368</v>
      </c>
      <c r="G1423" s="6">
        <v>25</v>
      </c>
      <c r="H1423" s="7">
        <v>0.6</v>
      </c>
      <c r="I1423" s="7">
        <v>15</v>
      </c>
    </row>
    <row r="1424" spans="1:9" hidden="1" x14ac:dyDescent="0.2">
      <c r="A1424" t="s">
        <v>18</v>
      </c>
      <c r="B1424" s="4" t="s">
        <v>694</v>
      </c>
      <c r="C1424" s="5">
        <v>44239</v>
      </c>
      <c r="D1424" t="s">
        <v>41</v>
      </c>
      <c r="E1424" t="s">
        <v>512</v>
      </c>
      <c r="F1424" t="s">
        <v>368</v>
      </c>
      <c r="G1424" s="6">
        <v>28</v>
      </c>
      <c r="H1424" s="7">
        <v>0.6</v>
      </c>
      <c r="I1424" s="7">
        <v>16.8</v>
      </c>
    </row>
    <row r="1425" spans="1:9" hidden="1" x14ac:dyDescent="0.2">
      <c r="A1425" t="s">
        <v>18</v>
      </c>
      <c r="B1425" s="4" t="s">
        <v>694</v>
      </c>
      <c r="C1425" s="5">
        <v>44239</v>
      </c>
      <c r="D1425" t="s">
        <v>41</v>
      </c>
      <c r="E1425" t="s">
        <v>484</v>
      </c>
      <c r="F1425" t="s">
        <v>368</v>
      </c>
      <c r="G1425" s="6">
        <v>23</v>
      </c>
      <c r="H1425" s="7">
        <v>0.57999999999999996</v>
      </c>
      <c r="I1425" s="7">
        <v>13.34</v>
      </c>
    </row>
    <row r="1426" spans="1:9" hidden="1" x14ac:dyDescent="0.2">
      <c r="A1426" t="s">
        <v>18</v>
      </c>
      <c r="B1426" s="4" t="s">
        <v>694</v>
      </c>
      <c r="C1426" s="5">
        <v>44239</v>
      </c>
      <c r="D1426" t="s">
        <v>41</v>
      </c>
      <c r="E1426" t="s">
        <v>695</v>
      </c>
      <c r="F1426" t="s">
        <v>368</v>
      </c>
      <c r="G1426" s="6">
        <v>5</v>
      </c>
      <c r="H1426" s="7">
        <v>0.12</v>
      </c>
      <c r="I1426" s="7">
        <v>0.6</v>
      </c>
    </row>
    <row r="1427" spans="1:9" hidden="1" x14ac:dyDescent="0.2">
      <c r="A1427" t="s">
        <v>8</v>
      </c>
      <c r="B1427" s="4" t="s">
        <v>696</v>
      </c>
      <c r="C1427" s="5">
        <v>44238</v>
      </c>
      <c r="D1427" t="s">
        <v>219</v>
      </c>
      <c r="E1427" t="s">
        <v>697</v>
      </c>
      <c r="F1427" t="s">
        <v>368</v>
      </c>
      <c r="G1427" s="6">
        <v>15</v>
      </c>
      <c r="H1427" s="7" t="s">
        <v>17</v>
      </c>
      <c r="I1427" s="7" t="s">
        <v>17</v>
      </c>
    </row>
    <row r="1428" spans="1:9" hidden="1" x14ac:dyDescent="0.2">
      <c r="A1428" t="s">
        <v>18</v>
      </c>
      <c r="B1428" s="4" t="s">
        <v>698</v>
      </c>
      <c r="C1428" s="5">
        <v>44232</v>
      </c>
      <c r="D1428" t="s">
        <v>41</v>
      </c>
      <c r="E1428" t="s">
        <v>670</v>
      </c>
      <c r="F1428" t="s">
        <v>368</v>
      </c>
      <c r="G1428" s="6">
        <v>34</v>
      </c>
      <c r="H1428" s="7">
        <v>0.5</v>
      </c>
      <c r="I1428" s="7">
        <v>17</v>
      </c>
    </row>
    <row r="1429" spans="1:9" hidden="1" x14ac:dyDescent="0.2">
      <c r="A1429" s="1" t="s">
        <v>18</v>
      </c>
      <c r="B1429" s="8" t="s">
        <v>699</v>
      </c>
      <c r="C1429" s="9">
        <v>44230</v>
      </c>
      <c r="D1429" s="1" t="s">
        <v>31</v>
      </c>
      <c r="E1429" s="1" t="s">
        <v>484</v>
      </c>
      <c r="F1429" s="1" t="s">
        <v>368</v>
      </c>
      <c r="G1429" s="10">
        <v>5</v>
      </c>
      <c r="H1429" s="11" t="s">
        <v>17</v>
      </c>
      <c r="I1429" s="11" t="s">
        <v>17</v>
      </c>
    </row>
    <row r="1430" spans="1:9" hidden="1" x14ac:dyDescent="0.2">
      <c r="A1430" t="s">
        <v>18</v>
      </c>
      <c r="B1430" s="4" t="s">
        <v>700</v>
      </c>
      <c r="C1430" s="5">
        <v>44229</v>
      </c>
      <c r="D1430" t="s">
        <v>81</v>
      </c>
      <c r="E1430" t="s">
        <v>679</v>
      </c>
      <c r="F1430" t="s">
        <v>368</v>
      </c>
      <c r="G1430" s="6">
        <v>500</v>
      </c>
      <c r="H1430" s="7">
        <v>7.9</v>
      </c>
      <c r="I1430" s="7">
        <v>3950</v>
      </c>
    </row>
    <row r="1431" spans="1:9" hidden="1" x14ac:dyDescent="0.2">
      <c r="A1431" t="s">
        <v>18</v>
      </c>
      <c r="B1431" s="4" t="s">
        <v>701</v>
      </c>
      <c r="C1431" s="5">
        <v>44228</v>
      </c>
      <c r="D1431" t="s">
        <v>35</v>
      </c>
      <c r="E1431" t="s">
        <v>123</v>
      </c>
      <c r="F1431" t="s">
        <v>368</v>
      </c>
      <c r="G1431" s="6">
        <v>300</v>
      </c>
      <c r="H1431" s="7">
        <v>0.02</v>
      </c>
      <c r="I1431" s="7">
        <v>4.5</v>
      </c>
    </row>
    <row r="1432" spans="1:9" hidden="1" x14ac:dyDescent="0.2">
      <c r="A1432" t="s">
        <v>18</v>
      </c>
      <c r="B1432" s="4" t="s">
        <v>702</v>
      </c>
      <c r="C1432" s="5">
        <v>44225</v>
      </c>
      <c r="D1432" t="s">
        <v>35</v>
      </c>
      <c r="E1432" t="s">
        <v>44</v>
      </c>
      <c r="F1432" t="s">
        <v>368</v>
      </c>
      <c r="G1432" s="6">
        <v>200</v>
      </c>
      <c r="H1432" s="7">
        <v>0.68</v>
      </c>
      <c r="I1432" s="7">
        <v>135.91</v>
      </c>
    </row>
    <row r="1433" spans="1:9" hidden="1" x14ac:dyDescent="0.2">
      <c r="A1433" t="s">
        <v>18</v>
      </c>
      <c r="B1433" s="4" t="s">
        <v>702</v>
      </c>
      <c r="C1433" s="5">
        <v>44225</v>
      </c>
      <c r="D1433" t="s">
        <v>35</v>
      </c>
      <c r="E1433" t="s">
        <v>44</v>
      </c>
      <c r="F1433" t="s">
        <v>368</v>
      </c>
      <c r="G1433" s="6">
        <v>200</v>
      </c>
      <c r="H1433" s="7">
        <v>0.83</v>
      </c>
      <c r="I1433" s="7">
        <v>166.11</v>
      </c>
    </row>
    <row r="1434" spans="1:9" x14ac:dyDescent="0.2">
      <c r="A1434" t="s">
        <v>8</v>
      </c>
      <c r="B1434" s="4" t="s">
        <v>703</v>
      </c>
      <c r="C1434" s="5">
        <v>44222</v>
      </c>
      <c r="D1434" t="s">
        <v>14</v>
      </c>
      <c r="E1434" t="s">
        <v>704</v>
      </c>
      <c r="F1434" t="s">
        <v>368</v>
      </c>
      <c r="G1434" s="6">
        <v>0</v>
      </c>
      <c r="H1434" s="7" t="s">
        <v>17</v>
      </c>
      <c r="I1434" s="7" t="s">
        <v>17</v>
      </c>
    </row>
    <row r="1435" spans="1:9" hidden="1" x14ac:dyDescent="0.2">
      <c r="A1435" t="s">
        <v>8</v>
      </c>
      <c r="B1435" s="4" t="s">
        <v>705</v>
      </c>
      <c r="C1435" s="5">
        <v>44218</v>
      </c>
      <c r="D1435" t="s">
        <v>21</v>
      </c>
      <c r="E1435" t="s">
        <v>704</v>
      </c>
      <c r="F1435" t="s">
        <v>368</v>
      </c>
      <c r="G1435" s="6">
        <v>8</v>
      </c>
      <c r="H1435" s="7" t="s">
        <v>17</v>
      </c>
      <c r="I1435" s="7" t="s">
        <v>17</v>
      </c>
    </row>
    <row r="1436" spans="1:9" hidden="1" x14ac:dyDescent="0.2">
      <c r="A1436" t="s">
        <v>18</v>
      </c>
      <c r="B1436" s="4" t="s">
        <v>705</v>
      </c>
      <c r="C1436" s="5">
        <v>44218</v>
      </c>
      <c r="D1436" t="s">
        <v>20</v>
      </c>
      <c r="E1436" t="s">
        <v>704</v>
      </c>
      <c r="F1436" t="s">
        <v>368</v>
      </c>
      <c r="G1436" s="6">
        <v>8</v>
      </c>
      <c r="H1436" s="7" t="s">
        <v>17</v>
      </c>
      <c r="I1436" s="7" t="s">
        <v>17</v>
      </c>
    </row>
    <row r="1437" spans="1:9" hidden="1" x14ac:dyDescent="0.2">
      <c r="A1437" t="s">
        <v>18</v>
      </c>
      <c r="B1437" s="4" t="s">
        <v>705</v>
      </c>
      <c r="C1437" s="5">
        <v>44218</v>
      </c>
      <c r="D1437" t="s">
        <v>41</v>
      </c>
      <c r="E1437" t="s">
        <v>486</v>
      </c>
      <c r="F1437" t="s">
        <v>368</v>
      </c>
      <c r="G1437" s="6">
        <v>28</v>
      </c>
      <c r="H1437" s="7">
        <v>0.68</v>
      </c>
      <c r="I1437" s="7">
        <v>18.989999999999998</v>
      </c>
    </row>
    <row r="1438" spans="1:9" hidden="1" x14ac:dyDescent="0.2">
      <c r="A1438" t="s">
        <v>8</v>
      </c>
      <c r="B1438" s="4" t="s">
        <v>706</v>
      </c>
      <c r="C1438" s="5">
        <v>44217</v>
      </c>
      <c r="D1438" t="s">
        <v>81</v>
      </c>
      <c r="E1438" t="s">
        <v>32</v>
      </c>
      <c r="F1438" t="s">
        <v>368</v>
      </c>
      <c r="G1438" s="6">
        <v>300</v>
      </c>
      <c r="H1438" s="7">
        <v>28.47</v>
      </c>
      <c r="I1438" s="7">
        <v>8541</v>
      </c>
    </row>
    <row r="1439" spans="1:9" hidden="1" x14ac:dyDescent="0.2">
      <c r="A1439" t="s">
        <v>18</v>
      </c>
      <c r="B1439" s="4" t="s">
        <v>707</v>
      </c>
      <c r="C1439" s="5">
        <v>44216</v>
      </c>
      <c r="D1439" t="s">
        <v>41</v>
      </c>
      <c r="E1439" t="s">
        <v>328</v>
      </c>
      <c r="F1439" t="s">
        <v>368</v>
      </c>
      <c r="G1439" s="6">
        <v>42</v>
      </c>
      <c r="H1439" s="7">
        <v>0.6</v>
      </c>
      <c r="I1439" s="7">
        <v>25.2</v>
      </c>
    </row>
    <row r="1440" spans="1:9" hidden="1" x14ac:dyDescent="0.2">
      <c r="A1440" t="s">
        <v>18</v>
      </c>
      <c r="B1440" s="4" t="s">
        <v>708</v>
      </c>
      <c r="C1440" s="5">
        <v>44215</v>
      </c>
      <c r="D1440" t="s">
        <v>41</v>
      </c>
      <c r="E1440" t="s">
        <v>331</v>
      </c>
      <c r="F1440" t="s">
        <v>368</v>
      </c>
      <c r="G1440" s="6">
        <v>25</v>
      </c>
      <c r="H1440" s="7">
        <v>1.59</v>
      </c>
      <c r="I1440" s="7">
        <v>39.76</v>
      </c>
    </row>
    <row r="1441" spans="1:9" hidden="1" x14ac:dyDescent="0.2">
      <c r="A1441" t="s">
        <v>18</v>
      </c>
      <c r="B1441" s="4" t="s">
        <v>709</v>
      </c>
      <c r="C1441" s="5">
        <v>44211</v>
      </c>
      <c r="D1441" t="s">
        <v>41</v>
      </c>
      <c r="E1441" t="s">
        <v>665</v>
      </c>
      <c r="F1441" t="s">
        <v>368</v>
      </c>
      <c r="G1441" s="6">
        <v>14</v>
      </c>
      <c r="H1441" s="7">
        <v>2.63</v>
      </c>
      <c r="I1441" s="7">
        <v>36.82</v>
      </c>
    </row>
    <row r="1442" spans="1:9" hidden="1" x14ac:dyDescent="0.2">
      <c r="A1442" t="s">
        <v>18</v>
      </c>
      <c r="B1442" s="4" t="s">
        <v>709</v>
      </c>
      <c r="C1442" s="5">
        <v>44211</v>
      </c>
      <c r="D1442" t="s">
        <v>41</v>
      </c>
      <c r="E1442" t="s">
        <v>296</v>
      </c>
      <c r="F1442" t="s">
        <v>368</v>
      </c>
      <c r="G1442" s="6">
        <v>31</v>
      </c>
      <c r="H1442" s="7">
        <v>0.72</v>
      </c>
      <c r="I1442" s="7">
        <v>22.32</v>
      </c>
    </row>
    <row r="1443" spans="1:9" hidden="1" x14ac:dyDescent="0.2">
      <c r="A1443" t="s">
        <v>18</v>
      </c>
      <c r="B1443" s="4" t="s">
        <v>709</v>
      </c>
      <c r="C1443" s="5">
        <v>44211</v>
      </c>
      <c r="D1443" t="s">
        <v>41</v>
      </c>
      <c r="E1443" t="s">
        <v>510</v>
      </c>
      <c r="F1443" t="s">
        <v>368</v>
      </c>
      <c r="G1443" s="6">
        <v>10</v>
      </c>
      <c r="H1443" s="7">
        <v>0.65</v>
      </c>
      <c r="I1443" s="7">
        <v>6.5</v>
      </c>
    </row>
    <row r="1444" spans="1:9" hidden="1" x14ac:dyDescent="0.2">
      <c r="A1444" t="s">
        <v>18</v>
      </c>
      <c r="B1444" s="4" t="s">
        <v>709</v>
      </c>
      <c r="C1444" s="5">
        <v>44211</v>
      </c>
      <c r="D1444" t="s">
        <v>41</v>
      </c>
      <c r="E1444" t="s">
        <v>666</v>
      </c>
      <c r="F1444" t="s">
        <v>368</v>
      </c>
      <c r="G1444" s="6">
        <v>34</v>
      </c>
      <c r="H1444" s="7">
        <v>0.62</v>
      </c>
      <c r="I1444" s="7">
        <v>21.08</v>
      </c>
    </row>
    <row r="1445" spans="1:9" hidden="1" x14ac:dyDescent="0.2">
      <c r="A1445" t="s">
        <v>18</v>
      </c>
      <c r="B1445" s="4" t="s">
        <v>709</v>
      </c>
      <c r="C1445" s="5">
        <v>44211</v>
      </c>
      <c r="D1445" t="s">
        <v>41</v>
      </c>
      <c r="E1445" t="s">
        <v>329</v>
      </c>
      <c r="F1445" t="s">
        <v>368</v>
      </c>
      <c r="G1445" s="6">
        <v>34</v>
      </c>
      <c r="H1445" s="7">
        <v>0.55000000000000004</v>
      </c>
      <c r="I1445" s="7">
        <v>18.7</v>
      </c>
    </row>
    <row r="1446" spans="1:9" hidden="1" x14ac:dyDescent="0.2">
      <c r="A1446" t="s">
        <v>18</v>
      </c>
      <c r="B1446" s="4" t="s">
        <v>709</v>
      </c>
      <c r="C1446" s="5">
        <v>44211</v>
      </c>
      <c r="D1446" t="s">
        <v>41</v>
      </c>
      <c r="E1446" t="s">
        <v>630</v>
      </c>
      <c r="F1446" t="s">
        <v>368</v>
      </c>
      <c r="G1446" s="6">
        <v>25</v>
      </c>
      <c r="H1446" s="7">
        <v>0.6</v>
      </c>
      <c r="I1446" s="7">
        <v>15</v>
      </c>
    </row>
    <row r="1447" spans="1:9" hidden="1" x14ac:dyDescent="0.2">
      <c r="A1447" t="s">
        <v>18</v>
      </c>
      <c r="B1447" s="4" t="s">
        <v>709</v>
      </c>
      <c r="C1447" s="5">
        <v>44211</v>
      </c>
      <c r="D1447" t="s">
        <v>41</v>
      </c>
      <c r="E1447" t="s">
        <v>512</v>
      </c>
      <c r="F1447" t="s">
        <v>368</v>
      </c>
      <c r="G1447" s="6">
        <v>28</v>
      </c>
      <c r="H1447" s="7">
        <v>0.55000000000000004</v>
      </c>
      <c r="I1447" s="7">
        <v>15.4</v>
      </c>
    </row>
    <row r="1448" spans="1:9" hidden="1" x14ac:dyDescent="0.2">
      <c r="A1448" t="s">
        <v>18</v>
      </c>
      <c r="B1448" s="4" t="s">
        <v>709</v>
      </c>
      <c r="C1448" s="5">
        <v>44211</v>
      </c>
      <c r="D1448" t="s">
        <v>41</v>
      </c>
      <c r="E1448" t="s">
        <v>484</v>
      </c>
      <c r="F1448" t="s">
        <v>368</v>
      </c>
      <c r="G1448" s="6">
        <v>23</v>
      </c>
      <c r="H1448" s="7">
        <v>0.6</v>
      </c>
      <c r="I1448" s="7">
        <v>13.8</v>
      </c>
    </row>
    <row r="1449" spans="1:9" x14ac:dyDescent="0.2">
      <c r="A1449" t="s">
        <v>18</v>
      </c>
      <c r="B1449" s="4" t="s">
        <v>710</v>
      </c>
      <c r="C1449" s="5">
        <v>44209</v>
      </c>
      <c r="D1449" t="s">
        <v>28</v>
      </c>
      <c r="E1449" t="s">
        <v>704</v>
      </c>
      <c r="F1449" t="s">
        <v>368</v>
      </c>
      <c r="G1449" s="6">
        <v>8</v>
      </c>
      <c r="H1449" s="7" t="s">
        <v>17</v>
      </c>
      <c r="I1449" s="7" t="s">
        <v>17</v>
      </c>
    </row>
    <row r="1450" spans="1:9" hidden="1" x14ac:dyDescent="0.2">
      <c r="A1450" t="s">
        <v>18</v>
      </c>
      <c r="B1450" s="4" t="s">
        <v>711</v>
      </c>
      <c r="C1450" s="5">
        <v>44208</v>
      </c>
      <c r="D1450" t="s">
        <v>81</v>
      </c>
      <c r="E1450" t="s">
        <v>508</v>
      </c>
      <c r="F1450" t="s">
        <v>368</v>
      </c>
      <c r="G1450" s="6">
        <v>400</v>
      </c>
      <c r="H1450" s="7">
        <v>10.32</v>
      </c>
      <c r="I1450" s="7">
        <v>4128</v>
      </c>
    </row>
    <row r="1451" spans="1:9" hidden="1" x14ac:dyDescent="0.2">
      <c r="A1451" t="s">
        <v>18</v>
      </c>
      <c r="B1451" s="4" t="s">
        <v>712</v>
      </c>
      <c r="C1451" s="5">
        <v>44204</v>
      </c>
      <c r="D1451" t="s">
        <v>35</v>
      </c>
      <c r="E1451" t="s">
        <v>669</v>
      </c>
      <c r="F1451" t="s">
        <v>368</v>
      </c>
      <c r="G1451" s="6">
        <v>100</v>
      </c>
      <c r="H1451" s="7">
        <v>0.41</v>
      </c>
      <c r="I1451" s="7">
        <v>41.04</v>
      </c>
    </row>
    <row r="1452" spans="1:9" hidden="1" x14ac:dyDescent="0.2">
      <c r="A1452" t="s">
        <v>18</v>
      </c>
      <c r="B1452" s="4" t="s">
        <v>712</v>
      </c>
      <c r="C1452" s="5">
        <v>44204</v>
      </c>
      <c r="D1452" t="s">
        <v>24</v>
      </c>
      <c r="E1452" t="s">
        <v>669</v>
      </c>
      <c r="F1452" t="s">
        <v>368</v>
      </c>
      <c r="G1452" s="6">
        <v>100</v>
      </c>
      <c r="H1452" s="7">
        <v>0.15</v>
      </c>
      <c r="I1452" s="7">
        <v>12.49</v>
      </c>
    </row>
    <row r="1453" spans="1:9" hidden="1" x14ac:dyDescent="0.2">
      <c r="A1453" t="s">
        <v>18</v>
      </c>
      <c r="B1453" s="4" t="s">
        <v>712</v>
      </c>
      <c r="C1453" s="5">
        <v>44204</v>
      </c>
      <c r="D1453" t="s">
        <v>41</v>
      </c>
      <c r="E1453" t="s">
        <v>670</v>
      </c>
      <c r="F1453" t="s">
        <v>368</v>
      </c>
      <c r="G1453" s="6">
        <v>34</v>
      </c>
      <c r="H1453" s="7">
        <v>0.5</v>
      </c>
      <c r="I1453" s="7">
        <v>17</v>
      </c>
    </row>
    <row r="1454" spans="1:9" hidden="1" x14ac:dyDescent="0.2">
      <c r="A1454" t="s">
        <v>18</v>
      </c>
      <c r="B1454" s="4" t="s">
        <v>713</v>
      </c>
      <c r="C1454" s="5">
        <v>44200</v>
      </c>
      <c r="D1454" t="s">
        <v>35</v>
      </c>
      <c r="E1454" t="s">
        <v>476</v>
      </c>
      <c r="F1454" t="s">
        <v>368</v>
      </c>
      <c r="G1454" s="6">
        <v>300</v>
      </c>
      <c r="H1454" s="7">
        <v>0.02</v>
      </c>
      <c r="I1454" s="7">
        <v>6</v>
      </c>
    </row>
    <row r="1455" spans="1:9" hidden="1" x14ac:dyDescent="0.2">
      <c r="A1455" t="s">
        <v>18</v>
      </c>
      <c r="B1455" s="4" t="s">
        <v>713</v>
      </c>
      <c r="C1455" s="5">
        <v>44200</v>
      </c>
      <c r="D1455" t="s">
        <v>35</v>
      </c>
      <c r="E1455" t="s">
        <v>123</v>
      </c>
      <c r="F1455" t="s">
        <v>368</v>
      </c>
      <c r="G1455" s="6">
        <v>300</v>
      </c>
      <c r="H1455" s="7">
        <v>0.02</v>
      </c>
      <c r="I1455" s="7">
        <v>4.5</v>
      </c>
    </row>
    <row r="1456" spans="1:9" hidden="1" x14ac:dyDescent="0.2">
      <c r="A1456" t="s">
        <v>18</v>
      </c>
      <c r="B1456" s="4" t="s">
        <v>713</v>
      </c>
      <c r="C1456" s="5">
        <v>44200</v>
      </c>
      <c r="D1456" t="s">
        <v>24</v>
      </c>
      <c r="E1456" t="s">
        <v>571</v>
      </c>
      <c r="F1456" t="s">
        <v>368</v>
      </c>
      <c r="G1456" s="6">
        <v>200</v>
      </c>
      <c r="H1456" s="7">
        <v>0.02</v>
      </c>
      <c r="I1456" s="7">
        <v>3.99</v>
      </c>
    </row>
    <row r="1457" spans="1:9" x14ac:dyDescent="0.2">
      <c r="A1457" t="s">
        <v>8</v>
      </c>
      <c r="B1457" s="4" t="s">
        <v>714</v>
      </c>
      <c r="C1457" s="5">
        <v>44193</v>
      </c>
      <c r="D1457" t="s">
        <v>14</v>
      </c>
      <c r="E1457" t="s">
        <v>715</v>
      </c>
      <c r="F1457" t="s">
        <v>368</v>
      </c>
      <c r="G1457" s="6">
        <v>0</v>
      </c>
      <c r="H1457" s="7" t="s">
        <v>17</v>
      </c>
      <c r="I1457" s="7" t="s">
        <v>17</v>
      </c>
    </row>
    <row r="1458" spans="1:9" x14ac:dyDescent="0.2">
      <c r="A1458" t="s">
        <v>18</v>
      </c>
      <c r="B1458" s="4" t="s">
        <v>714</v>
      </c>
      <c r="C1458" s="5">
        <v>44193</v>
      </c>
      <c r="D1458" t="s">
        <v>612</v>
      </c>
      <c r="E1458" t="s">
        <v>695</v>
      </c>
      <c r="F1458" t="s">
        <v>368</v>
      </c>
      <c r="G1458" s="6">
        <v>5</v>
      </c>
      <c r="H1458" s="7" t="s">
        <v>17</v>
      </c>
      <c r="I1458" s="7" t="s">
        <v>17</v>
      </c>
    </row>
    <row r="1459" spans="1:9" x14ac:dyDescent="0.2">
      <c r="A1459" t="s">
        <v>8</v>
      </c>
      <c r="B1459" s="4" t="s">
        <v>714</v>
      </c>
      <c r="C1459" s="5">
        <v>44193</v>
      </c>
      <c r="D1459" t="s">
        <v>612</v>
      </c>
      <c r="E1459" t="s">
        <v>695</v>
      </c>
      <c r="F1459" t="s">
        <v>368</v>
      </c>
      <c r="G1459" s="6">
        <v>5</v>
      </c>
      <c r="H1459" s="7" t="s">
        <v>17</v>
      </c>
      <c r="I1459" s="7" t="s">
        <v>17</v>
      </c>
    </row>
    <row r="1460" spans="1:9" x14ac:dyDescent="0.2">
      <c r="A1460" t="s">
        <v>8</v>
      </c>
      <c r="B1460" s="4" t="s">
        <v>716</v>
      </c>
      <c r="C1460" s="5">
        <v>44188</v>
      </c>
      <c r="D1460" t="s">
        <v>614</v>
      </c>
      <c r="E1460" t="s">
        <v>715</v>
      </c>
      <c r="F1460" t="s">
        <v>368</v>
      </c>
      <c r="G1460" s="6">
        <v>5</v>
      </c>
      <c r="H1460" s="7" t="s">
        <v>17</v>
      </c>
      <c r="I1460" s="7" t="s">
        <v>17</v>
      </c>
    </row>
    <row r="1461" spans="1:9" x14ac:dyDescent="0.2">
      <c r="A1461" t="s">
        <v>8</v>
      </c>
      <c r="B1461" s="4" t="s">
        <v>716</v>
      </c>
      <c r="C1461" s="5">
        <v>44188</v>
      </c>
      <c r="D1461" t="s">
        <v>615</v>
      </c>
      <c r="E1461" t="s">
        <v>715</v>
      </c>
      <c r="F1461" t="s">
        <v>368</v>
      </c>
      <c r="G1461" s="6">
        <v>5</v>
      </c>
      <c r="H1461" s="7" t="s">
        <v>17</v>
      </c>
      <c r="I1461" s="7" t="s">
        <v>17</v>
      </c>
    </row>
    <row r="1462" spans="1:9" hidden="1" x14ac:dyDescent="0.2">
      <c r="A1462" t="s">
        <v>18</v>
      </c>
      <c r="B1462" s="4" t="s">
        <v>716</v>
      </c>
      <c r="C1462" s="5">
        <v>44188</v>
      </c>
      <c r="D1462" t="s">
        <v>41</v>
      </c>
      <c r="E1462" t="s">
        <v>486</v>
      </c>
      <c r="F1462" t="s">
        <v>368</v>
      </c>
      <c r="G1462" s="6">
        <v>28</v>
      </c>
      <c r="H1462" s="7">
        <v>0.45</v>
      </c>
      <c r="I1462" s="7">
        <v>12.6</v>
      </c>
    </row>
    <row r="1463" spans="1:9" hidden="1" x14ac:dyDescent="0.2">
      <c r="A1463" t="s">
        <v>18</v>
      </c>
      <c r="B1463" s="4" t="s">
        <v>717</v>
      </c>
      <c r="C1463" s="5">
        <v>44182</v>
      </c>
      <c r="D1463" t="s">
        <v>41</v>
      </c>
      <c r="E1463" t="s">
        <v>328</v>
      </c>
      <c r="F1463" t="s">
        <v>368</v>
      </c>
      <c r="G1463" s="6">
        <v>30</v>
      </c>
      <c r="H1463" s="7">
        <v>0.6</v>
      </c>
      <c r="I1463" s="7">
        <v>18</v>
      </c>
    </row>
    <row r="1464" spans="1:9" hidden="1" x14ac:dyDescent="0.2">
      <c r="A1464" t="s">
        <v>18</v>
      </c>
      <c r="B1464" s="4" t="s">
        <v>717</v>
      </c>
      <c r="C1464" s="5">
        <v>44182</v>
      </c>
      <c r="D1464" t="s">
        <v>41</v>
      </c>
      <c r="E1464" t="s">
        <v>718</v>
      </c>
      <c r="F1464" t="s">
        <v>368</v>
      </c>
      <c r="G1464" s="6">
        <v>12</v>
      </c>
      <c r="H1464" s="7">
        <v>0.06</v>
      </c>
      <c r="I1464" s="7">
        <v>0.72</v>
      </c>
    </row>
    <row r="1465" spans="1:9" hidden="1" x14ac:dyDescent="0.2">
      <c r="A1465" t="s">
        <v>8</v>
      </c>
      <c r="B1465" s="4" t="s">
        <v>717</v>
      </c>
      <c r="C1465" s="5">
        <v>44182</v>
      </c>
      <c r="D1465" t="s">
        <v>81</v>
      </c>
      <c r="E1465" t="s">
        <v>32</v>
      </c>
      <c r="F1465" t="s">
        <v>368</v>
      </c>
      <c r="G1465" s="6">
        <v>700</v>
      </c>
      <c r="H1465" s="7">
        <v>27.79</v>
      </c>
      <c r="I1465" s="7">
        <v>19453</v>
      </c>
    </row>
    <row r="1466" spans="1:9" hidden="1" x14ac:dyDescent="0.2">
      <c r="A1466" t="s">
        <v>18</v>
      </c>
      <c r="B1466" s="4" t="s">
        <v>719</v>
      </c>
      <c r="C1466" s="5">
        <v>44181</v>
      </c>
      <c r="D1466" t="s">
        <v>41</v>
      </c>
      <c r="E1466" t="s">
        <v>331</v>
      </c>
      <c r="F1466" t="s">
        <v>368</v>
      </c>
      <c r="G1466" s="6">
        <v>25</v>
      </c>
      <c r="H1466" s="7">
        <v>1.38</v>
      </c>
      <c r="I1466" s="7">
        <v>34.49</v>
      </c>
    </row>
    <row r="1467" spans="1:9" hidden="1" x14ac:dyDescent="0.2">
      <c r="A1467" s="1" t="s">
        <v>18</v>
      </c>
      <c r="B1467" s="8" t="s">
        <v>719</v>
      </c>
      <c r="C1467" s="9">
        <v>44181</v>
      </c>
      <c r="D1467" s="1" t="s">
        <v>31</v>
      </c>
      <c r="E1467" s="1" t="s">
        <v>328</v>
      </c>
      <c r="F1467" s="1" t="s">
        <v>368</v>
      </c>
      <c r="G1467" s="10">
        <v>12</v>
      </c>
      <c r="H1467" s="11" t="s">
        <v>17</v>
      </c>
      <c r="I1467" s="11" t="s">
        <v>17</v>
      </c>
    </row>
    <row r="1468" spans="1:9" hidden="1" x14ac:dyDescent="0.2">
      <c r="A1468" t="s">
        <v>18</v>
      </c>
      <c r="B1468" s="4" t="s">
        <v>720</v>
      </c>
      <c r="C1468" s="5">
        <v>44180</v>
      </c>
      <c r="D1468" t="s">
        <v>35</v>
      </c>
      <c r="E1468" t="s">
        <v>32</v>
      </c>
      <c r="F1468" t="s">
        <v>368</v>
      </c>
      <c r="G1468" s="6">
        <v>2600</v>
      </c>
      <c r="H1468" s="7" t="s">
        <v>17</v>
      </c>
      <c r="I1468" s="7">
        <v>1.1599999999999999</v>
      </c>
    </row>
    <row r="1469" spans="1:9" hidden="1" x14ac:dyDescent="0.2">
      <c r="A1469" t="s">
        <v>18</v>
      </c>
      <c r="B1469" s="4" t="s">
        <v>720</v>
      </c>
      <c r="C1469" s="5">
        <v>44180</v>
      </c>
      <c r="D1469" t="s">
        <v>41</v>
      </c>
      <c r="E1469" t="s">
        <v>32</v>
      </c>
      <c r="F1469" t="s">
        <v>368</v>
      </c>
      <c r="G1469" s="6">
        <v>2600</v>
      </c>
      <c r="H1469" s="7" t="s">
        <v>17</v>
      </c>
      <c r="I1469" s="7">
        <v>0.03</v>
      </c>
    </row>
    <row r="1470" spans="1:9" hidden="1" x14ac:dyDescent="0.2">
      <c r="A1470" t="s">
        <v>18</v>
      </c>
      <c r="B1470" s="4" t="s">
        <v>721</v>
      </c>
      <c r="C1470" s="5">
        <v>44179</v>
      </c>
      <c r="D1470" t="s">
        <v>41</v>
      </c>
      <c r="E1470" t="s">
        <v>665</v>
      </c>
      <c r="F1470" t="s">
        <v>368</v>
      </c>
      <c r="G1470" s="6">
        <v>14</v>
      </c>
      <c r="H1470" s="7">
        <v>0.78</v>
      </c>
      <c r="I1470" s="7">
        <v>10.92</v>
      </c>
    </row>
    <row r="1471" spans="1:9" hidden="1" x14ac:dyDescent="0.2">
      <c r="A1471" t="s">
        <v>18</v>
      </c>
      <c r="B1471" s="4" t="s">
        <v>721</v>
      </c>
      <c r="C1471" s="5">
        <v>44179</v>
      </c>
      <c r="D1471" t="s">
        <v>41</v>
      </c>
      <c r="E1471" t="s">
        <v>296</v>
      </c>
      <c r="F1471" t="s">
        <v>368</v>
      </c>
      <c r="G1471" s="6">
        <v>23</v>
      </c>
      <c r="H1471" s="7">
        <v>0.68</v>
      </c>
      <c r="I1471" s="7">
        <v>15.64</v>
      </c>
    </row>
    <row r="1472" spans="1:9" hidden="1" x14ac:dyDescent="0.2">
      <c r="A1472" t="s">
        <v>18</v>
      </c>
      <c r="B1472" s="4" t="s">
        <v>721</v>
      </c>
      <c r="C1472" s="5">
        <v>44179</v>
      </c>
      <c r="D1472" t="s">
        <v>41</v>
      </c>
      <c r="E1472" t="s">
        <v>722</v>
      </c>
      <c r="F1472" t="s">
        <v>368</v>
      </c>
      <c r="G1472" s="6">
        <v>8</v>
      </c>
      <c r="H1472" s="7">
        <v>0.13</v>
      </c>
      <c r="I1472" s="7">
        <v>1.04</v>
      </c>
    </row>
    <row r="1473" spans="1:9" hidden="1" x14ac:dyDescent="0.2">
      <c r="A1473" t="s">
        <v>18</v>
      </c>
      <c r="B1473" s="4" t="s">
        <v>721</v>
      </c>
      <c r="C1473" s="5">
        <v>44179</v>
      </c>
      <c r="D1473" t="s">
        <v>41</v>
      </c>
      <c r="E1473" t="s">
        <v>510</v>
      </c>
      <c r="F1473" t="s">
        <v>368</v>
      </c>
      <c r="G1473" s="6">
        <v>10</v>
      </c>
      <c r="H1473" s="7">
        <v>0.65</v>
      </c>
      <c r="I1473" s="7">
        <v>6.5</v>
      </c>
    </row>
    <row r="1474" spans="1:9" hidden="1" x14ac:dyDescent="0.2">
      <c r="A1474" t="s">
        <v>18</v>
      </c>
      <c r="B1474" s="4" t="s">
        <v>721</v>
      </c>
      <c r="C1474" s="5">
        <v>44179</v>
      </c>
      <c r="D1474" t="s">
        <v>41</v>
      </c>
      <c r="E1474" t="s">
        <v>666</v>
      </c>
      <c r="F1474" t="s">
        <v>368</v>
      </c>
      <c r="G1474" s="6">
        <v>34</v>
      </c>
      <c r="H1474" s="7">
        <v>0.57999999999999996</v>
      </c>
      <c r="I1474" s="7">
        <v>19.72</v>
      </c>
    </row>
    <row r="1475" spans="1:9" hidden="1" x14ac:dyDescent="0.2">
      <c r="A1475" t="s">
        <v>18</v>
      </c>
      <c r="B1475" s="4" t="s">
        <v>721</v>
      </c>
      <c r="C1475" s="5">
        <v>44179</v>
      </c>
      <c r="D1475" t="s">
        <v>41</v>
      </c>
      <c r="E1475" t="s">
        <v>329</v>
      </c>
      <c r="F1475" t="s">
        <v>368</v>
      </c>
      <c r="G1475" s="6">
        <v>34</v>
      </c>
      <c r="H1475" s="7">
        <v>0.55000000000000004</v>
      </c>
      <c r="I1475" s="7">
        <v>18.7</v>
      </c>
    </row>
    <row r="1476" spans="1:9" hidden="1" x14ac:dyDescent="0.2">
      <c r="A1476" t="s">
        <v>18</v>
      </c>
      <c r="B1476" s="4" t="s">
        <v>721</v>
      </c>
      <c r="C1476" s="5">
        <v>44179</v>
      </c>
      <c r="D1476" t="s">
        <v>41</v>
      </c>
      <c r="E1476" t="s">
        <v>630</v>
      </c>
      <c r="F1476" t="s">
        <v>368</v>
      </c>
      <c r="G1476" s="6">
        <v>25</v>
      </c>
      <c r="H1476" s="7">
        <v>0.6</v>
      </c>
      <c r="I1476" s="7">
        <v>15</v>
      </c>
    </row>
    <row r="1477" spans="1:9" hidden="1" x14ac:dyDescent="0.2">
      <c r="A1477" t="s">
        <v>18</v>
      </c>
      <c r="B1477" s="4" t="s">
        <v>721</v>
      </c>
      <c r="C1477" s="5">
        <v>44179</v>
      </c>
      <c r="D1477" t="s">
        <v>41</v>
      </c>
      <c r="E1477" t="s">
        <v>512</v>
      </c>
      <c r="F1477" t="s">
        <v>368</v>
      </c>
      <c r="G1477" s="6">
        <v>28</v>
      </c>
      <c r="H1477" s="7">
        <v>0.45</v>
      </c>
      <c r="I1477" s="7">
        <v>12.6</v>
      </c>
    </row>
    <row r="1478" spans="1:9" hidden="1" x14ac:dyDescent="0.2">
      <c r="A1478" t="s">
        <v>18</v>
      </c>
      <c r="B1478" s="4" t="s">
        <v>721</v>
      </c>
      <c r="C1478" s="5">
        <v>44179</v>
      </c>
      <c r="D1478" t="s">
        <v>41</v>
      </c>
      <c r="E1478" t="s">
        <v>484</v>
      </c>
      <c r="F1478" t="s">
        <v>368</v>
      </c>
      <c r="G1478" s="6">
        <v>23</v>
      </c>
      <c r="H1478" s="7">
        <v>0.57999999999999996</v>
      </c>
      <c r="I1478" s="7">
        <v>13.34</v>
      </c>
    </row>
    <row r="1479" spans="1:9" x14ac:dyDescent="0.2">
      <c r="A1479" t="s">
        <v>18</v>
      </c>
      <c r="B1479" s="4" t="s">
        <v>723</v>
      </c>
      <c r="C1479" s="5">
        <v>44175</v>
      </c>
      <c r="D1479" t="s">
        <v>28</v>
      </c>
      <c r="E1479" t="s">
        <v>715</v>
      </c>
      <c r="F1479" t="s">
        <v>368</v>
      </c>
      <c r="G1479" s="6">
        <v>5</v>
      </c>
      <c r="H1479" s="7" t="s">
        <v>17</v>
      </c>
      <c r="I1479" s="7" t="s">
        <v>17</v>
      </c>
    </row>
    <row r="1480" spans="1:9" hidden="1" x14ac:dyDescent="0.2">
      <c r="A1480" t="s">
        <v>18</v>
      </c>
      <c r="B1480" s="4" t="s">
        <v>724</v>
      </c>
      <c r="C1480" s="5">
        <v>44174</v>
      </c>
      <c r="D1480" t="s">
        <v>35</v>
      </c>
      <c r="E1480" t="s">
        <v>571</v>
      </c>
      <c r="F1480" t="s">
        <v>368</v>
      </c>
      <c r="G1480" s="6">
        <v>200</v>
      </c>
      <c r="H1480" s="7">
        <v>0.14000000000000001</v>
      </c>
      <c r="I1480" s="7">
        <v>27.36</v>
      </c>
    </row>
    <row r="1481" spans="1:9" hidden="1" x14ac:dyDescent="0.2">
      <c r="A1481" t="s">
        <v>18</v>
      </c>
      <c r="B1481" s="4" t="s">
        <v>725</v>
      </c>
      <c r="C1481" s="5">
        <v>44172</v>
      </c>
      <c r="D1481" t="s">
        <v>41</v>
      </c>
      <c r="E1481" t="s">
        <v>509</v>
      </c>
      <c r="F1481" t="s">
        <v>368</v>
      </c>
      <c r="G1481" s="6">
        <v>34</v>
      </c>
      <c r="H1481" s="7">
        <v>0.47</v>
      </c>
      <c r="I1481" s="7">
        <v>15.98</v>
      </c>
    </row>
    <row r="1482" spans="1:9" x14ac:dyDescent="0.2">
      <c r="A1482" t="s">
        <v>8</v>
      </c>
      <c r="B1482" s="4" t="s">
        <v>726</v>
      </c>
      <c r="C1482" s="5">
        <v>44169</v>
      </c>
      <c r="D1482" t="s">
        <v>14</v>
      </c>
      <c r="E1482" t="s">
        <v>483</v>
      </c>
      <c r="F1482" t="s">
        <v>368</v>
      </c>
      <c r="G1482" s="6">
        <v>0</v>
      </c>
      <c r="H1482" s="7" t="s">
        <v>17</v>
      </c>
      <c r="I1482" s="7" t="s">
        <v>17</v>
      </c>
    </row>
    <row r="1483" spans="1:9" hidden="1" x14ac:dyDescent="0.2">
      <c r="A1483" t="s">
        <v>8</v>
      </c>
      <c r="B1483" s="4" t="s">
        <v>727</v>
      </c>
      <c r="C1483" s="5">
        <v>44168</v>
      </c>
      <c r="D1483" t="s">
        <v>21</v>
      </c>
      <c r="E1483" t="s">
        <v>483</v>
      </c>
      <c r="F1483" t="s">
        <v>368</v>
      </c>
      <c r="G1483" s="6">
        <v>9</v>
      </c>
      <c r="H1483" s="7" t="s">
        <v>17</v>
      </c>
      <c r="I1483" s="7" t="s">
        <v>17</v>
      </c>
    </row>
    <row r="1484" spans="1:9" hidden="1" x14ac:dyDescent="0.2">
      <c r="A1484" t="s">
        <v>18</v>
      </c>
      <c r="B1484" s="4" t="s">
        <v>727</v>
      </c>
      <c r="C1484" s="5">
        <v>44168</v>
      </c>
      <c r="D1484" t="s">
        <v>20</v>
      </c>
      <c r="E1484" t="s">
        <v>483</v>
      </c>
      <c r="F1484" t="s">
        <v>368</v>
      </c>
      <c r="G1484" s="6">
        <v>9</v>
      </c>
      <c r="H1484" s="7" t="s">
        <v>17</v>
      </c>
      <c r="I1484" s="7" t="s">
        <v>17</v>
      </c>
    </row>
    <row r="1485" spans="1:9" hidden="1" x14ac:dyDescent="0.2">
      <c r="A1485" s="1" t="s">
        <v>18</v>
      </c>
      <c r="B1485" s="8" t="s">
        <v>728</v>
      </c>
      <c r="C1485" s="9">
        <v>44167</v>
      </c>
      <c r="D1485" s="1" t="s">
        <v>31</v>
      </c>
      <c r="E1485" s="1" t="s">
        <v>296</v>
      </c>
      <c r="F1485" s="1" t="s">
        <v>368</v>
      </c>
      <c r="G1485" s="10">
        <v>8</v>
      </c>
      <c r="H1485" s="11" t="s">
        <v>17</v>
      </c>
      <c r="I1485" s="11" t="s">
        <v>17</v>
      </c>
    </row>
    <row r="1486" spans="1:9" hidden="1" x14ac:dyDescent="0.2">
      <c r="A1486" t="s">
        <v>18</v>
      </c>
      <c r="B1486" s="4" t="s">
        <v>729</v>
      </c>
      <c r="C1486" s="5">
        <v>44166</v>
      </c>
      <c r="D1486" t="s">
        <v>35</v>
      </c>
      <c r="E1486" t="s">
        <v>123</v>
      </c>
      <c r="F1486" t="s">
        <v>368</v>
      </c>
      <c r="G1486" s="6">
        <v>300</v>
      </c>
      <c r="H1486" s="7">
        <v>0.02</v>
      </c>
      <c r="I1486" s="7">
        <v>4.5</v>
      </c>
    </row>
    <row r="1487" spans="1:9" hidden="1" x14ac:dyDescent="0.2">
      <c r="A1487" t="s">
        <v>18</v>
      </c>
      <c r="B1487" s="4" t="s">
        <v>730</v>
      </c>
      <c r="C1487" s="5">
        <v>44160</v>
      </c>
      <c r="D1487" t="s">
        <v>41</v>
      </c>
      <c r="E1487" t="s">
        <v>486</v>
      </c>
      <c r="F1487" t="s">
        <v>368</v>
      </c>
      <c r="G1487" s="6">
        <v>28</v>
      </c>
      <c r="H1487" s="7">
        <v>0.42</v>
      </c>
      <c r="I1487" s="7">
        <v>11.76</v>
      </c>
    </row>
    <row r="1488" spans="1:9" hidden="1" x14ac:dyDescent="0.2">
      <c r="A1488" t="s">
        <v>18</v>
      </c>
      <c r="B1488" s="4" t="s">
        <v>731</v>
      </c>
      <c r="C1488" s="5">
        <v>44154</v>
      </c>
      <c r="D1488" t="s">
        <v>41</v>
      </c>
      <c r="E1488" t="s">
        <v>328</v>
      </c>
      <c r="F1488" t="s">
        <v>368</v>
      </c>
      <c r="G1488" s="6">
        <v>30</v>
      </c>
      <c r="H1488" s="7">
        <v>0.6</v>
      </c>
      <c r="I1488" s="7">
        <v>18</v>
      </c>
    </row>
    <row r="1489" spans="1:9" hidden="1" x14ac:dyDescent="0.2">
      <c r="A1489" t="s">
        <v>18</v>
      </c>
      <c r="B1489" s="4" t="s">
        <v>732</v>
      </c>
      <c r="C1489" s="5">
        <v>44153</v>
      </c>
      <c r="D1489" t="s">
        <v>41</v>
      </c>
      <c r="E1489" t="s">
        <v>331</v>
      </c>
      <c r="F1489" t="s">
        <v>368</v>
      </c>
      <c r="G1489" s="6">
        <v>25</v>
      </c>
      <c r="H1489" s="7">
        <v>1.22</v>
      </c>
      <c r="I1489" s="7">
        <v>30.51</v>
      </c>
    </row>
    <row r="1490" spans="1:9" x14ac:dyDescent="0.2">
      <c r="A1490" t="s">
        <v>18</v>
      </c>
      <c r="B1490" s="4" t="s">
        <v>732</v>
      </c>
      <c r="C1490" s="5">
        <v>44153</v>
      </c>
      <c r="D1490" t="s">
        <v>28</v>
      </c>
      <c r="E1490" t="s">
        <v>483</v>
      </c>
      <c r="F1490" t="s">
        <v>368</v>
      </c>
      <c r="G1490" s="6">
        <v>9</v>
      </c>
      <c r="H1490" s="7" t="s">
        <v>17</v>
      </c>
      <c r="I1490" s="7" t="s">
        <v>17</v>
      </c>
    </row>
    <row r="1491" spans="1:9" hidden="1" x14ac:dyDescent="0.2">
      <c r="A1491" t="s">
        <v>18</v>
      </c>
      <c r="B1491" s="4" t="s">
        <v>733</v>
      </c>
      <c r="C1491" s="5">
        <v>44151</v>
      </c>
      <c r="D1491" t="s">
        <v>41</v>
      </c>
      <c r="E1491" t="s">
        <v>665</v>
      </c>
      <c r="F1491" t="s">
        <v>368</v>
      </c>
      <c r="G1491" s="6">
        <v>14</v>
      </c>
      <c r="H1491" s="7">
        <v>0.78</v>
      </c>
      <c r="I1491" s="7">
        <v>10.92</v>
      </c>
    </row>
    <row r="1492" spans="1:9" hidden="1" x14ac:dyDescent="0.2">
      <c r="A1492" t="s">
        <v>18</v>
      </c>
      <c r="B1492" s="4" t="s">
        <v>733</v>
      </c>
      <c r="C1492" s="5">
        <v>44151</v>
      </c>
      <c r="D1492" t="s">
        <v>41</v>
      </c>
      <c r="E1492" t="s">
        <v>296</v>
      </c>
      <c r="F1492" t="s">
        <v>368</v>
      </c>
      <c r="G1492" s="6">
        <v>23</v>
      </c>
      <c r="H1492" s="7">
        <v>0.68</v>
      </c>
      <c r="I1492" s="7">
        <v>15.64</v>
      </c>
    </row>
    <row r="1493" spans="1:9" hidden="1" x14ac:dyDescent="0.2">
      <c r="A1493" t="s">
        <v>18</v>
      </c>
      <c r="B1493" s="4" t="s">
        <v>733</v>
      </c>
      <c r="C1493" s="5">
        <v>44151</v>
      </c>
      <c r="D1493" t="s">
        <v>41</v>
      </c>
      <c r="E1493" t="s">
        <v>722</v>
      </c>
      <c r="F1493" t="s">
        <v>368</v>
      </c>
      <c r="G1493" s="6">
        <v>8</v>
      </c>
      <c r="H1493" s="7">
        <v>0.05</v>
      </c>
      <c r="I1493" s="7">
        <v>0.4</v>
      </c>
    </row>
    <row r="1494" spans="1:9" hidden="1" x14ac:dyDescent="0.2">
      <c r="A1494" t="s">
        <v>18</v>
      </c>
      <c r="B1494" s="4" t="s">
        <v>733</v>
      </c>
      <c r="C1494" s="5">
        <v>44151</v>
      </c>
      <c r="D1494" t="s">
        <v>41</v>
      </c>
      <c r="E1494" t="s">
        <v>510</v>
      </c>
      <c r="F1494" t="s">
        <v>368</v>
      </c>
      <c r="G1494" s="6">
        <v>10</v>
      </c>
      <c r="H1494" s="7">
        <v>0.65</v>
      </c>
      <c r="I1494" s="7">
        <v>6.5</v>
      </c>
    </row>
    <row r="1495" spans="1:9" hidden="1" x14ac:dyDescent="0.2">
      <c r="A1495" t="s">
        <v>18</v>
      </c>
      <c r="B1495" s="4" t="s">
        <v>733</v>
      </c>
      <c r="C1495" s="5">
        <v>44151</v>
      </c>
      <c r="D1495" t="s">
        <v>41</v>
      </c>
      <c r="E1495" t="s">
        <v>666</v>
      </c>
      <c r="F1495" t="s">
        <v>368</v>
      </c>
      <c r="G1495" s="6">
        <v>34</v>
      </c>
      <c r="H1495" s="7">
        <v>0.48</v>
      </c>
      <c r="I1495" s="7">
        <v>16.32</v>
      </c>
    </row>
    <row r="1496" spans="1:9" hidden="1" x14ac:dyDescent="0.2">
      <c r="A1496" t="s">
        <v>18</v>
      </c>
      <c r="B1496" s="4" t="s">
        <v>733</v>
      </c>
      <c r="C1496" s="5">
        <v>44151</v>
      </c>
      <c r="D1496" t="s">
        <v>41</v>
      </c>
      <c r="E1496" t="s">
        <v>329</v>
      </c>
      <c r="F1496" t="s">
        <v>368</v>
      </c>
      <c r="G1496" s="6">
        <v>34</v>
      </c>
      <c r="H1496" s="7">
        <v>0.57999999999999996</v>
      </c>
      <c r="I1496" s="7">
        <v>19.72</v>
      </c>
    </row>
    <row r="1497" spans="1:9" hidden="1" x14ac:dyDescent="0.2">
      <c r="A1497" t="s">
        <v>18</v>
      </c>
      <c r="B1497" s="4" t="s">
        <v>733</v>
      </c>
      <c r="C1497" s="5">
        <v>44151</v>
      </c>
      <c r="D1497" t="s">
        <v>41</v>
      </c>
      <c r="E1497" t="s">
        <v>630</v>
      </c>
      <c r="F1497" t="s">
        <v>368</v>
      </c>
      <c r="G1497" s="6">
        <v>25</v>
      </c>
      <c r="H1497" s="7">
        <v>0.42</v>
      </c>
      <c r="I1497" s="7">
        <v>10.5</v>
      </c>
    </row>
    <row r="1498" spans="1:9" hidden="1" x14ac:dyDescent="0.2">
      <c r="A1498" t="s">
        <v>18</v>
      </c>
      <c r="B1498" s="4" t="s">
        <v>733</v>
      </c>
      <c r="C1498" s="5">
        <v>44151</v>
      </c>
      <c r="D1498" t="s">
        <v>41</v>
      </c>
      <c r="E1498" t="s">
        <v>512</v>
      </c>
      <c r="F1498" t="s">
        <v>368</v>
      </c>
      <c r="G1498" s="6">
        <v>28</v>
      </c>
      <c r="H1498" s="7">
        <v>0.38</v>
      </c>
      <c r="I1498" s="7">
        <v>10.5</v>
      </c>
    </row>
    <row r="1499" spans="1:9" hidden="1" x14ac:dyDescent="0.2">
      <c r="A1499" t="s">
        <v>18</v>
      </c>
      <c r="B1499" s="4" t="s">
        <v>734</v>
      </c>
      <c r="C1499" s="5">
        <v>44148</v>
      </c>
      <c r="D1499" t="s">
        <v>41</v>
      </c>
      <c r="E1499" t="s">
        <v>484</v>
      </c>
      <c r="F1499" t="s">
        <v>368</v>
      </c>
      <c r="G1499" s="6">
        <v>23</v>
      </c>
      <c r="H1499" s="7">
        <v>0.57999999999999996</v>
      </c>
      <c r="I1499" s="7">
        <v>13.34</v>
      </c>
    </row>
    <row r="1500" spans="1:9" x14ac:dyDescent="0.2">
      <c r="A1500" t="s">
        <v>8</v>
      </c>
      <c r="B1500" s="4" t="s">
        <v>735</v>
      </c>
      <c r="C1500" s="5">
        <v>44145</v>
      </c>
      <c r="D1500" t="s">
        <v>14</v>
      </c>
      <c r="E1500" t="s">
        <v>456</v>
      </c>
      <c r="F1500" t="s">
        <v>368</v>
      </c>
      <c r="G1500" s="6">
        <v>0</v>
      </c>
      <c r="H1500" s="7" t="s">
        <v>17</v>
      </c>
      <c r="I1500" s="7" t="s">
        <v>17</v>
      </c>
    </row>
    <row r="1501" spans="1:9" x14ac:dyDescent="0.2">
      <c r="A1501" t="s">
        <v>18</v>
      </c>
      <c r="B1501" s="4" t="s">
        <v>735</v>
      </c>
      <c r="C1501" s="5">
        <v>44145</v>
      </c>
      <c r="D1501" t="s">
        <v>612</v>
      </c>
      <c r="E1501" t="s">
        <v>718</v>
      </c>
      <c r="F1501" t="s">
        <v>368</v>
      </c>
      <c r="G1501" s="6">
        <v>12</v>
      </c>
      <c r="H1501" s="7" t="s">
        <v>17</v>
      </c>
      <c r="I1501" s="7" t="s">
        <v>17</v>
      </c>
    </row>
    <row r="1502" spans="1:9" x14ac:dyDescent="0.2">
      <c r="A1502" t="s">
        <v>8</v>
      </c>
      <c r="B1502" s="4" t="s">
        <v>735</v>
      </c>
      <c r="C1502" s="5">
        <v>44145</v>
      </c>
      <c r="D1502" t="s">
        <v>612</v>
      </c>
      <c r="E1502" t="s">
        <v>718</v>
      </c>
      <c r="F1502" t="s">
        <v>368</v>
      </c>
      <c r="G1502" s="6">
        <v>12</v>
      </c>
      <c r="H1502" s="7" t="s">
        <v>17</v>
      </c>
      <c r="I1502" s="7" t="s">
        <v>17</v>
      </c>
    </row>
    <row r="1503" spans="1:9" hidden="1" x14ac:dyDescent="0.2">
      <c r="A1503" t="s">
        <v>8</v>
      </c>
      <c r="B1503" s="4" t="s">
        <v>735</v>
      </c>
      <c r="C1503" s="5">
        <v>44145</v>
      </c>
      <c r="D1503" t="s">
        <v>81</v>
      </c>
      <c r="E1503" t="s">
        <v>32</v>
      </c>
      <c r="F1503" t="s">
        <v>368</v>
      </c>
      <c r="G1503" s="6">
        <v>1000</v>
      </c>
      <c r="H1503" s="7">
        <v>19.8</v>
      </c>
      <c r="I1503" s="7">
        <v>19800</v>
      </c>
    </row>
    <row r="1504" spans="1:9" hidden="1" x14ac:dyDescent="0.2">
      <c r="A1504" t="s">
        <v>18</v>
      </c>
      <c r="B1504" s="4" t="s">
        <v>736</v>
      </c>
      <c r="C1504" s="5">
        <v>44144</v>
      </c>
      <c r="D1504" t="s">
        <v>41</v>
      </c>
      <c r="E1504" t="s">
        <v>509</v>
      </c>
      <c r="F1504" t="s">
        <v>368</v>
      </c>
      <c r="G1504" s="6">
        <v>34</v>
      </c>
      <c r="H1504" s="7">
        <v>0.45</v>
      </c>
      <c r="I1504" s="7">
        <v>15.3</v>
      </c>
    </row>
    <row r="1505" spans="1:9" x14ac:dyDescent="0.2">
      <c r="A1505" t="s">
        <v>8</v>
      </c>
      <c r="B1505" s="4" t="s">
        <v>736</v>
      </c>
      <c r="C1505" s="5">
        <v>44144</v>
      </c>
      <c r="D1505" t="s">
        <v>614</v>
      </c>
      <c r="E1505" t="s">
        <v>456</v>
      </c>
      <c r="F1505" t="s">
        <v>368</v>
      </c>
      <c r="G1505" s="6">
        <v>12</v>
      </c>
      <c r="H1505" s="7" t="s">
        <v>17</v>
      </c>
      <c r="I1505" s="7" t="s">
        <v>17</v>
      </c>
    </row>
    <row r="1506" spans="1:9" x14ac:dyDescent="0.2">
      <c r="A1506" t="s">
        <v>8</v>
      </c>
      <c r="B1506" s="4" t="s">
        <v>736</v>
      </c>
      <c r="C1506" s="5">
        <v>44144</v>
      </c>
      <c r="D1506" t="s">
        <v>615</v>
      </c>
      <c r="E1506" t="s">
        <v>456</v>
      </c>
      <c r="F1506" t="s">
        <v>368</v>
      </c>
      <c r="G1506" s="6">
        <v>12</v>
      </c>
      <c r="H1506" s="7" t="s">
        <v>17</v>
      </c>
      <c r="I1506" s="7" t="s">
        <v>17</v>
      </c>
    </row>
    <row r="1507" spans="1:9" hidden="1" x14ac:dyDescent="0.2">
      <c r="A1507" t="s">
        <v>18</v>
      </c>
      <c r="B1507" s="4" t="s">
        <v>737</v>
      </c>
      <c r="C1507" s="5">
        <v>44138</v>
      </c>
      <c r="D1507" t="s">
        <v>35</v>
      </c>
      <c r="E1507" t="s">
        <v>123</v>
      </c>
      <c r="F1507" t="s">
        <v>368</v>
      </c>
      <c r="G1507" s="6">
        <v>300</v>
      </c>
      <c r="H1507" s="7">
        <v>0.02</v>
      </c>
      <c r="I1507" s="7">
        <v>4.5</v>
      </c>
    </row>
    <row r="1508" spans="1:9" hidden="1" x14ac:dyDescent="0.2">
      <c r="A1508" t="s">
        <v>18</v>
      </c>
      <c r="B1508" s="4" t="s">
        <v>738</v>
      </c>
      <c r="C1508" s="5">
        <v>44132</v>
      </c>
      <c r="D1508" t="s">
        <v>81</v>
      </c>
      <c r="E1508" t="s">
        <v>32</v>
      </c>
      <c r="F1508" t="s">
        <v>368</v>
      </c>
      <c r="G1508" s="6">
        <v>700</v>
      </c>
      <c r="H1508" s="7">
        <v>20.07</v>
      </c>
      <c r="I1508" s="7">
        <v>14049</v>
      </c>
    </row>
    <row r="1509" spans="1:9" x14ac:dyDescent="0.2">
      <c r="A1509" t="s">
        <v>18</v>
      </c>
      <c r="B1509" s="4" t="s">
        <v>739</v>
      </c>
      <c r="C1509" s="5">
        <v>44131</v>
      </c>
      <c r="D1509" t="s">
        <v>28</v>
      </c>
      <c r="E1509" t="s">
        <v>456</v>
      </c>
      <c r="F1509" t="s">
        <v>368</v>
      </c>
      <c r="G1509" s="6">
        <v>12</v>
      </c>
      <c r="H1509" s="7" t="s">
        <v>17</v>
      </c>
      <c r="I1509" s="7" t="s">
        <v>17</v>
      </c>
    </row>
    <row r="1510" spans="1:9" hidden="1" x14ac:dyDescent="0.2">
      <c r="A1510" t="s">
        <v>18</v>
      </c>
      <c r="B1510" s="4" t="s">
        <v>740</v>
      </c>
      <c r="C1510" s="5">
        <v>44127</v>
      </c>
      <c r="D1510" t="s">
        <v>41</v>
      </c>
      <c r="E1510" t="s">
        <v>486</v>
      </c>
      <c r="F1510" t="s">
        <v>368</v>
      </c>
      <c r="G1510" s="6">
        <v>28</v>
      </c>
      <c r="H1510" s="7">
        <v>0.26</v>
      </c>
      <c r="I1510" s="7">
        <v>7.28</v>
      </c>
    </row>
    <row r="1511" spans="1:9" hidden="1" x14ac:dyDescent="0.2">
      <c r="A1511" t="s">
        <v>18</v>
      </c>
      <c r="B1511" s="4" t="s">
        <v>741</v>
      </c>
      <c r="C1511" s="5">
        <v>44125</v>
      </c>
      <c r="D1511" t="s">
        <v>81</v>
      </c>
      <c r="E1511" t="s">
        <v>32</v>
      </c>
      <c r="F1511" t="s">
        <v>368</v>
      </c>
      <c r="G1511" s="6">
        <v>300</v>
      </c>
      <c r="H1511" s="7">
        <v>19.600000000000001</v>
      </c>
      <c r="I1511" s="7">
        <v>5880</v>
      </c>
    </row>
    <row r="1512" spans="1:9" x14ac:dyDescent="0.2">
      <c r="A1512" t="s">
        <v>18</v>
      </c>
      <c r="B1512" s="4" t="s">
        <v>742</v>
      </c>
      <c r="C1512" s="5">
        <v>44124</v>
      </c>
      <c r="D1512" t="s">
        <v>612</v>
      </c>
      <c r="E1512" t="s">
        <v>722</v>
      </c>
      <c r="F1512" t="s">
        <v>368</v>
      </c>
      <c r="G1512" s="6">
        <v>8</v>
      </c>
      <c r="H1512" s="7" t="s">
        <v>17</v>
      </c>
      <c r="I1512" s="7" t="s">
        <v>17</v>
      </c>
    </row>
    <row r="1513" spans="1:9" x14ac:dyDescent="0.2">
      <c r="A1513" t="s">
        <v>8</v>
      </c>
      <c r="B1513" s="4" t="s">
        <v>742</v>
      </c>
      <c r="C1513" s="5">
        <v>44124</v>
      </c>
      <c r="D1513" t="s">
        <v>612</v>
      </c>
      <c r="E1513" t="s">
        <v>722</v>
      </c>
      <c r="F1513" t="s">
        <v>368</v>
      </c>
      <c r="G1513" s="6">
        <v>8</v>
      </c>
      <c r="H1513" s="7" t="s">
        <v>17</v>
      </c>
      <c r="I1513" s="7" t="s">
        <v>17</v>
      </c>
    </row>
    <row r="1514" spans="1:9" hidden="1" x14ac:dyDescent="0.2">
      <c r="A1514" t="s">
        <v>18</v>
      </c>
      <c r="B1514" s="4" t="s">
        <v>742</v>
      </c>
      <c r="C1514" s="5">
        <v>44124</v>
      </c>
      <c r="D1514" t="s">
        <v>41</v>
      </c>
      <c r="E1514" t="s">
        <v>328</v>
      </c>
      <c r="F1514" t="s">
        <v>368</v>
      </c>
      <c r="G1514" s="6">
        <v>30</v>
      </c>
      <c r="H1514" s="7">
        <v>0.6</v>
      </c>
      <c r="I1514" s="7">
        <v>18</v>
      </c>
    </row>
    <row r="1515" spans="1:9" x14ac:dyDescent="0.2">
      <c r="A1515" t="s">
        <v>8</v>
      </c>
      <c r="B1515" s="4" t="s">
        <v>743</v>
      </c>
      <c r="C1515" s="5">
        <v>44123</v>
      </c>
      <c r="D1515" t="s">
        <v>615</v>
      </c>
      <c r="E1515" t="s">
        <v>744</v>
      </c>
      <c r="F1515" t="s">
        <v>368</v>
      </c>
      <c r="G1515" s="6">
        <v>8</v>
      </c>
      <c r="H1515" s="7" t="s">
        <v>17</v>
      </c>
      <c r="I1515" s="7" t="s">
        <v>17</v>
      </c>
    </row>
    <row r="1516" spans="1:9" x14ac:dyDescent="0.2">
      <c r="A1516" t="s">
        <v>8</v>
      </c>
      <c r="B1516" s="4" t="s">
        <v>743</v>
      </c>
      <c r="C1516" s="5">
        <v>44123</v>
      </c>
      <c r="D1516" t="s">
        <v>14</v>
      </c>
      <c r="E1516" t="s">
        <v>744</v>
      </c>
      <c r="F1516" t="s">
        <v>368</v>
      </c>
      <c r="G1516" s="6">
        <v>0</v>
      </c>
      <c r="H1516" s="7" t="s">
        <v>17</v>
      </c>
      <c r="I1516" s="7" t="s">
        <v>17</v>
      </c>
    </row>
    <row r="1517" spans="1:9" hidden="1" x14ac:dyDescent="0.2">
      <c r="A1517" t="s">
        <v>18</v>
      </c>
      <c r="B1517" s="4" t="s">
        <v>743</v>
      </c>
      <c r="C1517" s="5">
        <v>44123</v>
      </c>
      <c r="D1517" t="s">
        <v>41</v>
      </c>
      <c r="E1517" t="s">
        <v>331</v>
      </c>
      <c r="F1517" t="s">
        <v>368</v>
      </c>
      <c r="G1517" s="6">
        <v>25</v>
      </c>
      <c r="H1517" s="7">
        <v>1.1599999999999999</v>
      </c>
      <c r="I1517" s="7">
        <v>28.96</v>
      </c>
    </row>
    <row r="1518" spans="1:9" x14ac:dyDescent="0.2">
      <c r="A1518" t="s">
        <v>8</v>
      </c>
      <c r="B1518" s="4" t="s">
        <v>745</v>
      </c>
      <c r="C1518" s="5">
        <v>44120</v>
      </c>
      <c r="D1518" t="s">
        <v>614</v>
      </c>
      <c r="E1518" t="s">
        <v>744</v>
      </c>
      <c r="F1518" t="s">
        <v>368</v>
      </c>
      <c r="G1518" s="6">
        <v>8</v>
      </c>
      <c r="H1518" s="7" t="s">
        <v>17</v>
      </c>
      <c r="I1518" s="7" t="s">
        <v>17</v>
      </c>
    </row>
    <row r="1519" spans="1:9" hidden="1" x14ac:dyDescent="0.2">
      <c r="A1519" t="s">
        <v>18</v>
      </c>
      <c r="B1519" s="4" t="s">
        <v>746</v>
      </c>
      <c r="C1519" s="5">
        <v>44119</v>
      </c>
      <c r="D1519" t="s">
        <v>41</v>
      </c>
      <c r="E1519" t="s">
        <v>665</v>
      </c>
      <c r="F1519" t="s">
        <v>368</v>
      </c>
      <c r="G1519" s="6">
        <v>14</v>
      </c>
      <c r="H1519" s="7">
        <v>0.6</v>
      </c>
      <c r="I1519" s="7">
        <v>8.4</v>
      </c>
    </row>
    <row r="1520" spans="1:9" hidden="1" x14ac:dyDescent="0.2">
      <c r="A1520" t="s">
        <v>18</v>
      </c>
      <c r="B1520" s="4" t="s">
        <v>746</v>
      </c>
      <c r="C1520" s="5">
        <v>44119</v>
      </c>
      <c r="D1520" t="s">
        <v>41</v>
      </c>
      <c r="E1520" t="s">
        <v>296</v>
      </c>
      <c r="F1520" t="s">
        <v>368</v>
      </c>
      <c r="G1520" s="6">
        <v>23</v>
      </c>
      <c r="H1520" s="7">
        <v>0.68</v>
      </c>
      <c r="I1520" s="7">
        <v>15.64</v>
      </c>
    </row>
    <row r="1521" spans="1:9" hidden="1" x14ac:dyDescent="0.2">
      <c r="A1521" t="s">
        <v>18</v>
      </c>
      <c r="B1521" s="4" t="s">
        <v>746</v>
      </c>
      <c r="C1521" s="5">
        <v>44119</v>
      </c>
      <c r="D1521" t="s">
        <v>41</v>
      </c>
      <c r="E1521" t="s">
        <v>510</v>
      </c>
      <c r="F1521" t="s">
        <v>368</v>
      </c>
      <c r="G1521" s="6">
        <v>10</v>
      </c>
      <c r="H1521" s="7">
        <v>0.65</v>
      </c>
      <c r="I1521" s="7">
        <v>6.5</v>
      </c>
    </row>
    <row r="1522" spans="1:9" hidden="1" x14ac:dyDescent="0.2">
      <c r="A1522" t="s">
        <v>18</v>
      </c>
      <c r="B1522" s="4" t="s">
        <v>746</v>
      </c>
      <c r="C1522" s="5">
        <v>44119</v>
      </c>
      <c r="D1522" t="s">
        <v>41</v>
      </c>
      <c r="E1522" t="s">
        <v>666</v>
      </c>
      <c r="F1522" t="s">
        <v>368</v>
      </c>
      <c r="G1522" s="6">
        <v>34</v>
      </c>
      <c r="H1522" s="7">
        <v>0.35</v>
      </c>
      <c r="I1522" s="7">
        <v>11.9</v>
      </c>
    </row>
    <row r="1523" spans="1:9" hidden="1" x14ac:dyDescent="0.2">
      <c r="A1523" t="s">
        <v>18</v>
      </c>
      <c r="B1523" s="4" t="s">
        <v>746</v>
      </c>
      <c r="C1523" s="5">
        <v>44119</v>
      </c>
      <c r="D1523" t="s">
        <v>309</v>
      </c>
      <c r="E1523" t="s">
        <v>172</v>
      </c>
      <c r="F1523" t="s">
        <v>368</v>
      </c>
      <c r="G1523" s="6">
        <v>300</v>
      </c>
      <c r="H1523" s="7" t="s">
        <v>17</v>
      </c>
      <c r="I1523" s="7" t="s">
        <v>17</v>
      </c>
    </row>
    <row r="1524" spans="1:9" hidden="1" x14ac:dyDescent="0.2">
      <c r="A1524" t="s">
        <v>18</v>
      </c>
      <c r="B1524" s="4" t="s">
        <v>746</v>
      </c>
      <c r="C1524" s="5">
        <v>44119</v>
      </c>
      <c r="D1524" t="s">
        <v>41</v>
      </c>
      <c r="E1524" t="s">
        <v>329</v>
      </c>
      <c r="F1524" t="s">
        <v>368</v>
      </c>
      <c r="G1524" s="6">
        <v>34</v>
      </c>
      <c r="H1524" s="7">
        <v>0.57999999999999996</v>
      </c>
      <c r="I1524" s="7">
        <v>19.72</v>
      </c>
    </row>
    <row r="1525" spans="1:9" hidden="1" x14ac:dyDescent="0.2">
      <c r="A1525" t="s">
        <v>18</v>
      </c>
      <c r="B1525" s="4" t="s">
        <v>746</v>
      </c>
      <c r="C1525" s="5">
        <v>44119</v>
      </c>
      <c r="D1525" t="s">
        <v>41</v>
      </c>
      <c r="E1525" t="s">
        <v>630</v>
      </c>
      <c r="F1525" t="s">
        <v>368</v>
      </c>
      <c r="G1525" s="6">
        <v>25</v>
      </c>
      <c r="H1525" s="7">
        <v>0.5</v>
      </c>
      <c r="I1525" s="7">
        <v>12.5</v>
      </c>
    </row>
    <row r="1526" spans="1:9" hidden="1" x14ac:dyDescent="0.2">
      <c r="A1526" t="s">
        <v>18</v>
      </c>
      <c r="B1526" s="4" t="s">
        <v>746</v>
      </c>
      <c r="C1526" s="5">
        <v>44119</v>
      </c>
      <c r="D1526" t="s">
        <v>41</v>
      </c>
      <c r="E1526" t="s">
        <v>512</v>
      </c>
      <c r="F1526" t="s">
        <v>368</v>
      </c>
      <c r="G1526" s="6">
        <v>28</v>
      </c>
      <c r="H1526" s="7">
        <v>0.2</v>
      </c>
      <c r="I1526" s="7">
        <v>5.6</v>
      </c>
    </row>
    <row r="1527" spans="1:9" hidden="1" x14ac:dyDescent="0.2">
      <c r="A1527" t="s">
        <v>18</v>
      </c>
      <c r="B1527" s="4" t="s">
        <v>746</v>
      </c>
      <c r="C1527" s="5">
        <v>44119</v>
      </c>
      <c r="D1527" t="s">
        <v>41</v>
      </c>
      <c r="E1527" t="s">
        <v>484</v>
      </c>
      <c r="F1527" t="s">
        <v>368</v>
      </c>
      <c r="G1527" s="6">
        <v>23</v>
      </c>
      <c r="H1527" s="7">
        <v>0.57999999999999996</v>
      </c>
      <c r="I1527" s="7">
        <v>13.34</v>
      </c>
    </row>
    <row r="1528" spans="1:9" hidden="1" x14ac:dyDescent="0.2">
      <c r="A1528" t="s">
        <v>18</v>
      </c>
      <c r="B1528" s="4" t="s">
        <v>747</v>
      </c>
      <c r="C1528" s="5">
        <v>44111</v>
      </c>
      <c r="D1528" t="s">
        <v>35</v>
      </c>
      <c r="E1528" t="s">
        <v>669</v>
      </c>
      <c r="F1528" t="s">
        <v>368</v>
      </c>
      <c r="G1528" s="6">
        <v>100</v>
      </c>
      <c r="H1528" s="7">
        <v>0.65</v>
      </c>
      <c r="I1528" s="7">
        <v>64.87</v>
      </c>
    </row>
    <row r="1529" spans="1:9" hidden="1" x14ac:dyDescent="0.2">
      <c r="A1529" t="s">
        <v>18</v>
      </c>
      <c r="B1529" s="4" t="s">
        <v>747</v>
      </c>
      <c r="C1529" s="5">
        <v>44111</v>
      </c>
      <c r="D1529" t="s">
        <v>24</v>
      </c>
      <c r="E1529" t="s">
        <v>669</v>
      </c>
      <c r="F1529" t="s">
        <v>368</v>
      </c>
      <c r="G1529" s="6">
        <v>100</v>
      </c>
      <c r="H1529" s="7">
        <v>0.15</v>
      </c>
      <c r="I1529" s="7">
        <v>12.57</v>
      </c>
    </row>
    <row r="1530" spans="1:9" hidden="1" x14ac:dyDescent="0.2">
      <c r="A1530" t="s">
        <v>18</v>
      </c>
      <c r="B1530" s="4" t="s">
        <v>747</v>
      </c>
      <c r="C1530" s="5">
        <v>44111</v>
      </c>
      <c r="D1530" t="s">
        <v>41</v>
      </c>
      <c r="E1530" t="s">
        <v>509</v>
      </c>
      <c r="F1530" t="s">
        <v>368</v>
      </c>
      <c r="G1530" s="6">
        <v>34</v>
      </c>
      <c r="H1530" s="7">
        <v>0.4</v>
      </c>
      <c r="I1530" s="7">
        <v>13.6</v>
      </c>
    </row>
    <row r="1531" spans="1:9" hidden="1" x14ac:dyDescent="0.2">
      <c r="A1531" t="s">
        <v>18</v>
      </c>
      <c r="B1531" s="4" t="s">
        <v>747</v>
      </c>
      <c r="C1531" s="5">
        <v>44111</v>
      </c>
      <c r="D1531" t="s">
        <v>35</v>
      </c>
      <c r="E1531" t="s">
        <v>571</v>
      </c>
      <c r="F1531" t="s">
        <v>368</v>
      </c>
      <c r="G1531" s="6">
        <v>200</v>
      </c>
      <c r="H1531" s="7">
        <v>0.04</v>
      </c>
      <c r="I1531" s="7">
        <v>8.9499999999999993</v>
      </c>
    </row>
    <row r="1532" spans="1:9" hidden="1" x14ac:dyDescent="0.2">
      <c r="A1532" t="s">
        <v>18</v>
      </c>
      <c r="B1532" s="4" t="s">
        <v>747</v>
      </c>
      <c r="C1532" s="5">
        <v>44111</v>
      </c>
      <c r="D1532" t="s">
        <v>35</v>
      </c>
      <c r="E1532" t="s">
        <v>571</v>
      </c>
      <c r="F1532" t="s">
        <v>368</v>
      </c>
      <c r="G1532" s="6">
        <v>200</v>
      </c>
      <c r="H1532" s="7">
        <v>0.16</v>
      </c>
      <c r="I1532" s="7">
        <v>31.36</v>
      </c>
    </row>
    <row r="1533" spans="1:9" hidden="1" x14ac:dyDescent="0.2">
      <c r="A1533" t="s">
        <v>18</v>
      </c>
      <c r="B1533" s="4" t="s">
        <v>747</v>
      </c>
      <c r="C1533" s="5">
        <v>44111</v>
      </c>
      <c r="D1533" t="s">
        <v>24</v>
      </c>
      <c r="E1533" t="s">
        <v>571</v>
      </c>
      <c r="F1533" t="s">
        <v>368</v>
      </c>
      <c r="G1533" s="6">
        <v>200</v>
      </c>
      <c r="H1533" s="7">
        <v>0.03</v>
      </c>
      <c r="I1533" s="7">
        <v>4.26</v>
      </c>
    </row>
    <row r="1534" spans="1:9" hidden="1" x14ac:dyDescent="0.2">
      <c r="A1534" t="s">
        <v>18</v>
      </c>
      <c r="B1534" s="4" t="s">
        <v>748</v>
      </c>
      <c r="C1534" s="5">
        <v>44105</v>
      </c>
      <c r="D1534" t="s">
        <v>35</v>
      </c>
      <c r="E1534" t="s">
        <v>476</v>
      </c>
      <c r="F1534" t="s">
        <v>368</v>
      </c>
      <c r="G1534" s="6">
        <v>300</v>
      </c>
      <c r="H1534" s="7">
        <v>0.02</v>
      </c>
      <c r="I1534" s="7">
        <v>6</v>
      </c>
    </row>
    <row r="1535" spans="1:9" hidden="1" x14ac:dyDescent="0.2">
      <c r="A1535" t="s">
        <v>18</v>
      </c>
      <c r="B1535" s="4" t="s">
        <v>748</v>
      </c>
      <c r="C1535" s="5">
        <v>44105</v>
      </c>
      <c r="D1535" t="s">
        <v>35</v>
      </c>
      <c r="E1535" t="s">
        <v>123</v>
      </c>
      <c r="F1535" t="s">
        <v>368</v>
      </c>
      <c r="G1535" s="6">
        <v>300</v>
      </c>
      <c r="H1535" s="7">
        <v>0.02</v>
      </c>
      <c r="I1535" s="7">
        <v>4.5</v>
      </c>
    </row>
    <row r="1536" spans="1:9" x14ac:dyDescent="0.2">
      <c r="A1536" t="s">
        <v>18</v>
      </c>
      <c r="B1536" s="4" t="s">
        <v>749</v>
      </c>
      <c r="C1536" s="5">
        <v>44103</v>
      </c>
      <c r="D1536" t="s">
        <v>28</v>
      </c>
      <c r="E1536" t="s">
        <v>744</v>
      </c>
      <c r="F1536" t="s">
        <v>368</v>
      </c>
      <c r="G1536" s="6">
        <v>8</v>
      </c>
      <c r="H1536" s="7" t="s">
        <v>17</v>
      </c>
      <c r="I1536" s="7" t="s">
        <v>17</v>
      </c>
    </row>
    <row r="1537" spans="1:9" hidden="1" x14ac:dyDescent="0.2">
      <c r="A1537" t="s">
        <v>18</v>
      </c>
      <c r="B1537" s="4" t="s">
        <v>750</v>
      </c>
      <c r="C1537" s="5">
        <v>44099</v>
      </c>
      <c r="D1537" t="s">
        <v>41</v>
      </c>
      <c r="E1537" t="s">
        <v>486</v>
      </c>
      <c r="F1537" t="s">
        <v>368</v>
      </c>
      <c r="G1537" s="6">
        <v>28</v>
      </c>
      <c r="H1537" s="7">
        <v>0.18</v>
      </c>
      <c r="I1537" s="7">
        <v>5.04</v>
      </c>
    </row>
    <row r="1538" spans="1:9" hidden="1" x14ac:dyDescent="0.2">
      <c r="A1538" s="1" t="s">
        <v>18</v>
      </c>
      <c r="B1538" s="8" t="s">
        <v>751</v>
      </c>
      <c r="C1538" s="9">
        <v>44096</v>
      </c>
      <c r="D1538" s="1" t="s">
        <v>31</v>
      </c>
      <c r="E1538" s="1" t="s">
        <v>752</v>
      </c>
      <c r="F1538" s="1" t="s">
        <v>368</v>
      </c>
      <c r="G1538" s="10">
        <v>15</v>
      </c>
      <c r="H1538" s="11" t="s">
        <v>17</v>
      </c>
      <c r="I1538" s="11" t="s">
        <v>17</v>
      </c>
    </row>
    <row r="1539" spans="1:9" hidden="1" x14ac:dyDescent="0.2">
      <c r="A1539" t="s">
        <v>18</v>
      </c>
      <c r="B1539" s="4" t="s">
        <v>753</v>
      </c>
      <c r="C1539" s="5">
        <v>44092</v>
      </c>
      <c r="D1539" t="s">
        <v>41</v>
      </c>
      <c r="E1539" t="s">
        <v>328</v>
      </c>
      <c r="F1539" t="s">
        <v>368</v>
      </c>
      <c r="G1539" s="6">
        <v>30</v>
      </c>
      <c r="H1539" s="7">
        <v>0.6</v>
      </c>
      <c r="I1539" s="7">
        <v>18</v>
      </c>
    </row>
    <row r="1540" spans="1:9" hidden="1" x14ac:dyDescent="0.2">
      <c r="A1540" t="s">
        <v>18</v>
      </c>
      <c r="B1540" s="4" t="s">
        <v>754</v>
      </c>
      <c r="C1540" s="5">
        <v>44091</v>
      </c>
      <c r="D1540" t="s">
        <v>41</v>
      </c>
      <c r="E1540" t="s">
        <v>331</v>
      </c>
      <c r="F1540" t="s">
        <v>368</v>
      </c>
      <c r="G1540" s="6">
        <v>25</v>
      </c>
      <c r="H1540" s="7">
        <v>1.05</v>
      </c>
      <c r="I1540" s="7">
        <v>26.32</v>
      </c>
    </row>
    <row r="1541" spans="1:9" hidden="1" x14ac:dyDescent="0.2">
      <c r="A1541" t="s">
        <v>18</v>
      </c>
      <c r="B1541" s="4" t="s">
        <v>755</v>
      </c>
      <c r="C1541" s="5">
        <v>44089</v>
      </c>
      <c r="D1541" t="s">
        <v>41</v>
      </c>
      <c r="E1541" t="s">
        <v>665</v>
      </c>
      <c r="F1541" t="s">
        <v>368</v>
      </c>
      <c r="G1541" s="6">
        <v>10</v>
      </c>
      <c r="H1541" s="7">
        <v>0.78</v>
      </c>
      <c r="I1541" s="7">
        <v>7.8</v>
      </c>
    </row>
    <row r="1542" spans="1:9" hidden="1" x14ac:dyDescent="0.2">
      <c r="A1542" t="s">
        <v>18</v>
      </c>
      <c r="B1542" s="4" t="s">
        <v>755</v>
      </c>
      <c r="C1542" s="5">
        <v>44089</v>
      </c>
      <c r="D1542" t="s">
        <v>41</v>
      </c>
      <c r="E1542" t="s">
        <v>756</v>
      </c>
      <c r="F1542" t="s">
        <v>368</v>
      </c>
      <c r="G1542" s="6">
        <v>4</v>
      </c>
      <c r="H1542" s="7">
        <v>0.2</v>
      </c>
      <c r="I1542" s="7">
        <v>0.8</v>
      </c>
    </row>
    <row r="1543" spans="1:9" hidden="1" x14ac:dyDescent="0.2">
      <c r="A1543" t="s">
        <v>18</v>
      </c>
      <c r="B1543" s="4" t="s">
        <v>755</v>
      </c>
      <c r="C1543" s="5">
        <v>44089</v>
      </c>
      <c r="D1543" t="s">
        <v>41</v>
      </c>
      <c r="E1543" t="s">
        <v>296</v>
      </c>
      <c r="F1543" t="s">
        <v>368</v>
      </c>
      <c r="G1543" s="6">
        <v>23</v>
      </c>
      <c r="H1543" s="7">
        <v>0.68</v>
      </c>
      <c r="I1543" s="7">
        <v>15.64</v>
      </c>
    </row>
    <row r="1544" spans="1:9" hidden="1" x14ac:dyDescent="0.2">
      <c r="A1544" t="s">
        <v>18</v>
      </c>
      <c r="B1544" s="4" t="s">
        <v>755</v>
      </c>
      <c r="C1544" s="5">
        <v>44089</v>
      </c>
      <c r="D1544" t="s">
        <v>41</v>
      </c>
      <c r="E1544" t="s">
        <v>510</v>
      </c>
      <c r="F1544" t="s">
        <v>368</v>
      </c>
      <c r="G1544" s="6">
        <v>10</v>
      </c>
      <c r="H1544" s="7">
        <v>0.65</v>
      </c>
      <c r="I1544" s="7">
        <v>6.5</v>
      </c>
    </row>
    <row r="1545" spans="1:9" hidden="1" x14ac:dyDescent="0.2">
      <c r="A1545" t="s">
        <v>18</v>
      </c>
      <c r="B1545" s="4" t="s">
        <v>755</v>
      </c>
      <c r="C1545" s="5">
        <v>44089</v>
      </c>
      <c r="D1545" t="s">
        <v>41</v>
      </c>
      <c r="E1545" t="s">
        <v>666</v>
      </c>
      <c r="F1545" t="s">
        <v>368</v>
      </c>
      <c r="G1545" s="6">
        <v>34</v>
      </c>
      <c r="H1545" s="7">
        <v>0.3</v>
      </c>
      <c r="I1545" s="7">
        <v>10.199999999999999</v>
      </c>
    </row>
    <row r="1546" spans="1:9" hidden="1" x14ac:dyDescent="0.2">
      <c r="A1546" t="s">
        <v>18</v>
      </c>
      <c r="B1546" s="4" t="s">
        <v>755</v>
      </c>
      <c r="C1546" s="5">
        <v>44089</v>
      </c>
      <c r="D1546" t="s">
        <v>41</v>
      </c>
      <c r="E1546" t="s">
        <v>329</v>
      </c>
      <c r="F1546" t="s">
        <v>368</v>
      </c>
      <c r="G1546" s="6">
        <v>34</v>
      </c>
      <c r="H1546" s="7">
        <v>0.56000000000000005</v>
      </c>
      <c r="I1546" s="7">
        <v>19.04</v>
      </c>
    </row>
    <row r="1547" spans="1:9" hidden="1" x14ac:dyDescent="0.2">
      <c r="A1547" t="s">
        <v>18</v>
      </c>
      <c r="B1547" s="4" t="s">
        <v>755</v>
      </c>
      <c r="C1547" s="5">
        <v>44089</v>
      </c>
      <c r="D1547" t="s">
        <v>41</v>
      </c>
      <c r="E1547" t="s">
        <v>630</v>
      </c>
      <c r="F1547" t="s">
        <v>368</v>
      </c>
      <c r="G1547" s="6">
        <v>25</v>
      </c>
      <c r="H1547" s="7">
        <v>0.6</v>
      </c>
      <c r="I1547" s="7">
        <v>15</v>
      </c>
    </row>
    <row r="1548" spans="1:9" hidden="1" x14ac:dyDescent="0.2">
      <c r="A1548" t="s">
        <v>18</v>
      </c>
      <c r="B1548" s="4" t="s">
        <v>755</v>
      </c>
      <c r="C1548" s="5">
        <v>44089</v>
      </c>
      <c r="D1548" t="s">
        <v>41</v>
      </c>
      <c r="E1548" t="s">
        <v>512</v>
      </c>
      <c r="F1548" t="s">
        <v>368</v>
      </c>
      <c r="G1548" s="6">
        <v>28</v>
      </c>
      <c r="H1548" s="7">
        <v>0.15</v>
      </c>
      <c r="I1548" s="7">
        <v>4.2</v>
      </c>
    </row>
    <row r="1549" spans="1:9" hidden="1" x14ac:dyDescent="0.2">
      <c r="A1549" t="s">
        <v>18</v>
      </c>
      <c r="B1549" s="4" t="s">
        <v>755</v>
      </c>
      <c r="C1549" s="5">
        <v>44089</v>
      </c>
      <c r="D1549" t="s">
        <v>41</v>
      </c>
      <c r="E1549" t="s">
        <v>484</v>
      </c>
      <c r="F1549" t="s">
        <v>368</v>
      </c>
      <c r="G1549" s="6">
        <v>23</v>
      </c>
      <c r="H1549" s="7">
        <v>0.57999999999999996</v>
      </c>
      <c r="I1549" s="7">
        <v>13.34</v>
      </c>
    </row>
    <row r="1550" spans="1:9" hidden="1" x14ac:dyDescent="0.2">
      <c r="A1550" t="s">
        <v>18</v>
      </c>
      <c r="B1550" s="4" t="s">
        <v>757</v>
      </c>
      <c r="C1550" s="5">
        <v>44082</v>
      </c>
      <c r="D1550" t="s">
        <v>41</v>
      </c>
      <c r="E1550" t="s">
        <v>509</v>
      </c>
      <c r="F1550" t="s">
        <v>368</v>
      </c>
      <c r="G1550" s="6">
        <v>34</v>
      </c>
      <c r="H1550" s="7">
        <v>0.26</v>
      </c>
      <c r="I1550" s="7">
        <v>8.84</v>
      </c>
    </row>
    <row r="1551" spans="1:9" hidden="1" x14ac:dyDescent="0.2">
      <c r="A1551" s="1" t="s">
        <v>18</v>
      </c>
      <c r="B1551" s="8" t="s">
        <v>758</v>
      </c>
      <c r="C1551" s="9">
        <v>44076</v>
      </c>
      <c r="D1551" s="1" t="s">
        <v>31</v>
      </c>
      <c r="E1551" s="1" t="s">
        <v>665</v>
      </c>
      <c r="F1551" s="1" t="s">
        <v>368</v>
      </c>
      <c r="G1551" s="10">
        <v>4</v>
      </c>
      <c r="H1551" s="11" t="s">
        <v>17</v>
      </c>
      <c r="I1551" s="11" t="s">
        <v>17</v>
      </c>
    </row>
    <row r="1552" spans="1:9" hidden="1" x14ac:dyDescent="0.2">
      <c r="A1552" t="s">
        <v>18</v>
      </c>
      <c r="B1552" s="4" t="s">
        <v>759</v>
      </c>
      <c r="C1552" s="5">
        <v>44075</v>
      </c>
      <c r="D1552" t="s">
        <v>35</v>
      </c>
      <c r="E1552" t="s">
        <v>123</v>
      </c>
      <c r="F1552" t="s">
        <v>368</v>
      </c>
      <c r="G1552" s="6">
        <v>300</v>
      </c>
      <c r="H1552" s="7">
        <v>0.02</v>
      </c>
      <c r="I1552" s="7">
        <v>4.5</v>
      </c>
    </row>
    <row r="1553" spans="1:9" hidden="1" x14ac:dyDescent="0.2">
      <c r="A1553" t="s">
        <v>18</v>
      </c>
      <c r="B1553" s="4" t="s">
        <v>760</v>
      </c>
      <c r="C1553" s="5">
        <v>44069</v>
      </c>
      <c r="D1553" t="s">
        <v>35</v>
      </c>
      <c r="E1553" t="s">
        <v>476</v>
      </c>
      <c r="F1553" t="s">
        <v>368</v>
      </c>
      <c r="G1553" s="6">
        <v>300</v>
      </c>
      <c r="H1553" s="7">
        <v>0.02</v>
      </c>
      <c r="I1553" s="7">
        <v>6</v>
      </c>
    </row>
    <row r="1554" spans="1:9" hidden="1" x14ac:dyDescent="0.2">
      <c r="A1554" t="s">
        <v>18</v>
      </c>
      <c r="B1554" s="4" t="s">
        <v>760</v>
      </c>
      <c r="C1554" s="5">
        <v>44069</v>
      </c>
      <c r="D1554" t="s">
        <v>24</v>
      </c>
      <c r="E1554" t="s">
        <v>123</v>
      </c>
      <c r="F1554" t="s">
        <v>368</v>
      </c>
      <c r="G1554" s="6">
        <v>300</v>
      </c>
      <c r="H1554" s="7">
        <v>0.05</v>
      </c>
      <c r="I1554" s="7">
        <v>13.49</v>
      </c>
    </row>
    <row r="1555" spans="1:9" hidden="1" x14ac:dyDescent="0.2">
      <c r="A1555" t="s">
        <v>18</v>
      </c>
      <c r="B1555" s="4" t="s">
        <v>761</v>
      </c>
      <c r="C1555" s="5">
        <v>44068</v>
      </c>
      <c r="D1555" t="s">
        <v>41</v>
      </c>
      <c r="E1555" t="s">
        <v>486</v>
      </c>
      <c r="F1555" t="s">
        <v>368</v>
      </c>
      <c r="G1555" s="6">
        <v>28</v>
      </c>
      <c r="H1555" s="7">
        <v>0.03</v>
      </c>
      <c r="I1555" s="7">
        <v>0.84</v>
      </c>
    </row>
    <row r="1556" spans="1:9" hidden="1" x14ac:dyDescent="0.2">
      <c r="A1556" t="s">
        <v>18</v>
      </c>
      <c r="B1556" s="4" t="s">
        <v>762</v>
      </c>
      <c r="C1556" s="5">
        <v>44062</v>
      </c>
      <c r="D1556" t="s">
        <v>41</v>
      </c>
      <c r="E1556" t="s">
        <v>328</v>
      </c>
      <c r="F1556" t="s">
        <v>368</v>
      </c>
      <c r="G1556" s="6">
        <v>30</v>
      </c>
      <c r="H1556" s="7">
        <v>0.6</v>
      </c>
      <c r="I1556" s="7">
        <v>18</v>
      </c>
    </row>
    <row r="1557" spans="1:9" hidden="1" x14ac:dyDescent="0.2">
      <c r="A1557" t="s">
        <v>18</v>
      </c>
      <c r="B1557" s="4" t="s">
        <v>762</v>
      </c>
      <c r="C1557" s="5">
        <v>44062</v>
      </c>
      <c r="D1557" t="s">
        <v>35</v>
      </c>
      <c r="E1557" t="s">
        <v>172</v>
      </c>
      <c r="F1557" t="s">
        <v>368</v>
      </c>
      <c r="G1557" s="6">
        <v>100</v>
      </c>
      <c r="H1557" s="7">
        <v>0.09</v>
      </c>
      <c r="I1557" s="7">
        <v>9.41</v>
      </c>
    </row>
    <row r="1558" spans="1:9" hidden="1" x14ac:dyDescent="0.2">
      <c r="A1558" t="s">
        <v>18</v>
      </c>
      <c r="B1558" s="4" t="s">
        <v>763</v>
      </c>
      <c r="C1558" s="5">
        <v>44061</v>
      </c>
      <c r="D1558" t="s">
        <v>41</v>
      </c>
      <c r="E1558" t="s">
        <v>331</v>
      </c>
      <c r="F1558" t="s">
        <v>368</v>
      </c>
      <c r="G1558" s="6">
        <v>25</v>
      </c>
      <c r="H1558" s="7">
        <v>0.85</v>
      </c>
      <c r="I1558" s="7">
        <v>21.16</v>
      </c>
    </row>
    <row r="1559" spans="1:9" hidden="1" x14ac:dyDescent="0.2">
      <c r="A1559" s="1" t="s">
        <v>18</v>
      </c>
      <c r="B1559" s="8" t="s">
        <v>764</v>
      </c>
      <c r="C1559" s="9">
        <v>44060</v>
      </c>
      <c r="D1559" s="1" t="s">
        <v>31</v>
      </c>
      <c r="E1559" s="1" t="s">
        <v>697</v>
      </c>
      <c r="F1559" s="1" t="s">
        <v>368</v>
      </c>
      <c r="G1559" s="10">
        <v>15</v>
      </c>
      <c r="H1559" s="11" t="s">
        <v>17</v>
      </c>
      <c r="I1559" s="11" t="s">
        <v>17</v>
      </c>
    </row>
    <row r="1560" spans="1:9" hidden="1" x14ac:dyDescent="0.2">
      <c r="A1560" s="1" t="s">
        <v>18</v>
      </c>
      <c r="B1560" s="8" t="s">
        <v>764</v>
      </c>
      <c r="C1560" s="9">
        <v>44060</v>
      </c>
      <c r="D1560" s="1" t="s">
        <v>31</v>
      </c>
      <c r="E1560" s="1" t="s">
        <v>765</v>
      </c>
      <c r="F1560" s="1" t="s">
        <v>368</v>
      </c>
      <c r="G1560" s="10">
        <v>15</v>
      </c>
      <c r="H1560" s="11" t="s">
        <v>17</v>
      </c>
      <c r="I1560" s="11" t="s">
        <v>17</v>
      </c>
    </row>
    <row r="1561" spans="1:9" hidden="1" x14ac:dyDescent="0.2">
      <c r="A1561" t="s">
        <v>18</v>
      </c>
      <c r="B1561" s="4" t="s">
        <v>766</v>
      </c>
      <c r="C1561" s="5">
        <v>44057</v>
      </c>
      <c r="D1561" t="s">
        <v>41</v>
      </c>
      <c r="E1561" t="s">
        <v>665</v>
      </c>
      <c r="F1561" t="s">
        <v>368</v>
      </c>
      <c r="G1561" s="6">
        <v>10</v>
      </c>
      <c r="H1561" s="7">
        <v>0.78</v>
      </c>
      <c r="I1561" s="7">
        <v>7.8</v>
      </c>
    </row>
    <row r="1562" spans="1:9" hidden="1" x14ac:dyDescent="0.2">
      <c r="A1562" t="s">
        <v>18</v>
      </c>
      <c r="B1562" s="4" t="s">
        <v>766</v>
      </c>
      <c r="C1562" s="5">
        <v>44057</v>
      </c>
      <c r="D1562" t="s">
        <v>41</v>
      </c>
      <c r="E1562" t="s">
        <v>510</v>
      </c>
      <c r="F1562" t="s">
        <v>368</v>
      </c>
      <c r="G1562" s="6">
        <v>10</v>
      </c>
      <c r="H1562" s="7">
        <v>0.65</v>
      </c>
      <c r="I1562" s="7">
        <v>6.5</v>
      </c>
    </row>
    <row r="1563" spans="1:9" x14ac:dyDescent="0.2">
      <c r="A1563" t="s">
        <v>8</v>
      </c>
      <c r="B1563" s="4" t="s">
        <v>767</v>
      </c>
      <c r="C1563" s="5">
        <v>44056</v>
      </c>
      <c r="D1563" t="s">
        <v>14</v>
      </c>
      <c r="E1563" t="s">
        <v>768</v>
      </c>
      <c r="F1563" t="s">
        <v>368</v>
      </c>
      <c r="G1563" s="6">
        <v>0</v>
      </c>
      <c r="H1563" s="7" t="s">
        <v>17</v>
      </c>
      <c r="I1563" s="7" t="s">
        <v>17</v>
      </c>
    </row>
    <row r="1564" spans="1:9" x14ac:dyDescent="0.2">
      <c r="A1564" t="s">
        <v>18</v>
      </c>
      <c r="B1564" s="4" t="s">
        <v>767</v>
      </c>
      <c r="C1564" s="5">
        <v>44056</v>
      </c>
      <c r="D1564" t="s">
        <v>612</v>
      </c>
      <c r="E1564" t="s">
        <v>765</v>
      </c>
      <c r="F1564" t="s">
        <v>368</v>
      </c>
      <c r="G1564" s="6">
        <v>15</v>
      </c>
      <c r="H1564" s="7" t="s">
        <v>17</v>
      </c>
      <c r="I1564" s="7" t="s">
        <v>17</v>
      </c>
    </row>
    <row r="1565" spans="1:9" x14ac:dyDescent="0.2">
      <c r="A1565" t="s">
        <v>8</v>
      </c>
      <c r="B1565" s="4" t="s">
        <v>767</v>
      </c>
      <c r="C1565" s="5">
        <v>44056</v>
      </c>
      <c r="D1565" t="s">
        <v>612</v>
      </c>
      <c r="E1565" t="s">
        <v>765</v>
      </c>
      <c r="F1565" t="s">
        <v>368</v>
      </c>
      <c r="G1565" s="6">
        <v>15</v>
      </c>
      <c r="H1565" s="7" t="s">
        <v>17</v>
      </c>
      <c r="I1565" s="7" t="s">
        <v>17</v>
      </c>
    </row>
    <row r="1566" spans="1:9" x14ac:dyDescent="0.2">
      <c r="A1566" t="s">
        <v>8</v>
      </c>
      <c r="B1566" s="4" t="s">
        <v>769</v>
      </c>
      <c r="C1566" s="5">
        <v>44055</v>
      </c>
      <c r="D1566" t="s">
        <v>614</v>
      </c>
      <c r="E1566" t="s">
        <v>625</v>
      </c>
      <c r="F1566" t="s">
        <v>368</v>
      </c>
      <c r="G1566" s="6">
        <v>15</v>
      </c>
      <c r="H1566" s="7" t="s">
        <v>17</v>
      </c>
      <c r="I1566" s="7" t="s">
        <v>17</v>
      </c>
    </row>
    <row r="1567" spans="1:9" x14ac:dyDescent="0.2">
      <c r="A1567" t="s">
        <v>8</v>
      </c>
      <c r="B1567" s="4" t="s">
        <v>769</v>
      </c>
      <c r="C1567" s="5">
        <v>44055</v>
      </c>
      <c r="D1567" t="s">
        <v>615</v>
      </c>
      <c r="E1567" t="s">
        <v>625</v>
      </c>
      <c r="F1567" t="s">
        <v>368</v>
      </c>
      <c r="G1567" s="6">
        <v>15</v>
      </c>
      <c r="H1567" s="7" t="s">
        <v>17</v>
      </c>
      <c r="I1567" s="7">
        <v>192.6</v>
      </c>
    </row>
    <row r="1568" spans="1:9" hidden="1" x14ac:dyDescent="0.2">
      <c r="A1568" t="s">
        <v>18</v>
      </c>
      <c r="B1568" s="4" t="s">
        <v>769</v>
      </c>
      <c r="C1568" s="5">
        <v>44055</v>
      </c>
      <c r="D1568" t="s">
        <v>81</v>
      </c>
      <c r="E1568" t="s">
        <v>222</v>
      </c>
      <c r="F1568" t="s">
        <v>368</v>
      </c>
      <c r="G1568" s="6">
        <v>23</v>
      </c>
      <c r="H1568" s="7">
        <v>129.47999999999999</v>
      </c>
      <c r="I1568" s="7">
        <v>2978.04</v>
      </c>
    </row>
    <row r="1569" spans="1:9" hidden="1" x14ac:dyDescent="0.2">
      <c r="A1569" t="s">
        <v>18</v>
      </c>
      <c r="B1569" s="4" t="s">
        <v>769</v>
      </c>
      <c r="C1569" s="5">
        <v>44055</v>
      </c>
      <c r="D1569" t="s">
        <v>81</v>
      </c>
      <c r="E1569" t="s">
        <v>509</v>
      </c>
      <c r="F1569" t="s">
        <v>368</v>
      </c>
      <c r="G1569" s="6">
        <v>34</v>
      </c>
      <c r="H1569" s="7">
        <v>90.49</v>
      </c>
      <c r="I1569" s="7">
        <v>3076.66</v>
      </c>
    </row>
    <row r="1570" spans="1:9" hidden="1" x14ac:dyDescent="0.2">
      <c r="A1570" t="s">
        <v>18</v>
      </c>
      <c r="B1570" s="4" t="s">
        <v>769</v>
      </c>
      <c r="C1570" s="5">
        <v>44055</v>
      </c>
      <c r="D1570" t="s">
        <v>81</v>
      </c>
      <c r="E1570" t="s">
        <v>133</v>
      </c>
      <c r="F1570" t="s">
        <v>368</v>
      </c>
      <c r="G1570" s="6">
        <v>25</v>
      </c>
      <c r="H1570" s="7">
        <v>116.714</v>
      </c>
      <c r="I1570" s="7">
        <v>2917.85</v>
      </c>
    </row>
    <row r="1571" spans="1:9" hidden="1" x14ac:dyDescent="0.2">
      <c r="A1571" t="s">
        <v>18</v>
      </c>
      <c r="B1571" s="4" t="s">
        <v>769</v>
      </c>
      <c r="C1571" s="5">
        <v>44055</v>
      </c>
      <c r="D1571" t="s">
        <v>81</v>
      </c>
      <c r="E1571" t="s">
        <v>186</v>
      </c>
      <c r="F1571" t="s">
        <v>368</v>
      </c>
      <c r="G1571" s="6">
        <v>34</v>
      </c>
      <c r="H1571" s="7">
        <v>87.5</v>
      </c>
      <c r="I1571" s="7">
        <v>2975</v>
      </c>
    </row>
    <row r="1572" spans="1:9" hidden="1" x14ac:dyDescent="0.2">
      <c r="A1572" t="s">
        <v>18</v>
      </c>
      <c r="B1572" s="4" t="s">
        <v>769</v>
      </c>
      <c r="C1572" s="5">
        <v>44055</v>
      </c>
      <c r="D1572" t="s">
        <v>81</v>
      </c>
      <c r="E1572" t="s">
        <v>114</v>
      </c>
      <c r="F1572" t="s">
        <v>368</v>
      </c>
      <c r="G1572" s="6">
        <v>30</v>
      </c>
      <c r="H1572" s="7">
        <v>100.15</v>
      </c>
      <c r="I1572" s="7">
        <v>3004.5</v>
      </c>
    </row>
    <row r="1573" spans="1:9" hidden="1" x14ac:dyDescent="0.2">
      <c r="A1573" t="s">
        <v>18</v>
      </c>
      <c r="B1573" s="4" t="s">
        <v>769</v>
      </c>
      <c r="C1573" s="5">
        <v>44055</v>
      </c>
      <c r="D1573" t="s">
        <v>81</v>
      </c>
      <c r="E1573" t="s">
        <v>329</v>
      </c>
      <c r="F1573" t="s">
        <v>368</v>
      </c>
      <c r="G1573" s="6">
        <v>34</v>
      </c>
      <c r="H1573" s="7">
        <v>87.93</v>
      </c>
      <c r="I1573" s="7">
        <v>2989.62</v>
      </c>
    </row>
    <row r="1574" spans="1:9" hidden="1" x14ac:dyDescent="0.2">
      <c r="A1574" t="s">
        <v>18</v>
      </c>
      <c r="B1574" s="4" t="s">
        <v>769</v>
      </c>
      <c r="C1574" s="5">
        <v>44055</v>
      </c>
      <c r="D1574" t="s">
        <v>81</v>
      </c>
      <c r="E1574" t="s">
        <v>630</v>
      </c>
      <c r="F1574" t="s">
        <v>368</v>
      </c>
      <c r="G1574" s="6">
        <v>25</v>
      </c>
      <c r="H1574" s="7">
        <v>122.41</v>
      </c>
      <c r="I1574" s="7">
        <v>3060.25</v>
      </c>
    </row>
    <row r="1575" spans="1:9" hidden="1" x14ac:dyDescent="0.2">
      <c r="A1575" t="s">
        <v>18</v>
      </c>
      <c r="B1575" s="4" t="s">
        <v>769</v>
      </c>
      <c r="C1575" s="5">
        <v>44055</v>
      </c>
      <c r="D1575" t="s">
        <v>81</v>
      </c>
      <c r="E1575" t="s">
        <v>512</v>
      </c>
      <c r="F1575" t="s">
        <v>368</v>
      </c>
      <c r="G1575" s="6">
        <v>28</v>
      </c>
      <c r="H1575" s="7">
        <v>105.46</v>
      </c>
      <c r="I1575" s="7">
        <v>2952.88</v>
      </c>
    </row>
    <row r="1576" spans="1:9" hidden="1" x14ac:dyDescent="0.2">
      <c r="A1576" t="s">
        <v>18</v>
      </c>
      <c r="B1576" s="4" t="s">
        <v>769</v>
      </c>
      <c r="C1576" s="5">
        <v>44055</v>
      </c>
      <c r="D1576" t="s">
        <v>35</v>
      </c>
      <c r="E1576" t="s">
        <v>129</v>
      </c>
      <c r="F1576" t="s">
        <v>368</v>
      </c>
      <c r="G1576" s="6">
        <v>200</v>
      </c>
      <c r="H1576" s="7">
        <v>0.127</v>
      </c>
      <c r="I1576" s="7">
        <v>25.36</v>
      </c>
    </row>
    <row r="1577" spans="1:9" hidden="1" x14ac:dyDescent="0.2">
      <c r="A1577" t="s">
        <v>18</v>
      </c>
      <c r="B1577" s="4" t="s">
        <v>769</v>
      </c>
      <c r="C1577" s="5">
        <v>44055</v>
      </c>
      <c r="D1577" t="s">
        <v>24</v>
      </c>
      <c r="E1577" t="s">
        <v>129</v>
      </c>
      <c r="F1577" t="s">
        <v>368</v>
      </c>
      <c r="G1577" s="6">
        <v>200</v>
      </c>
      <c r="H1577" s="7">
        <v>3.7999999999999999E-2</v>
      </c>
      <c r="I1577" s="7">
        <v>6.5</v>
      </c>
    </row>
    <row r="1578" spans="1:9" hidden="1" x14ac:dyDescent="0.2">
      <c r="A1578" t="s">
        <v>18</v>
      </c>
      <c r="B1578" s="4" t="s">
        <v>769</v>
      </c>
      <c r="C1578" s="5">
        <v>44055</v>
      </c>
      <c r="D1578" t="s">
        <v>24</v>
      </c>
      <c r="E1578" t="s">
        <v>129</v>
      </c>
      <c r="F1578" t="s">
        <v>368</v>
      </c>
      <c r="G1578" s="6">
        <v>200</v>
      </c>
      <c r="H1578" s="7">
        <v>0.03</v>
      </c>
      <c r="I1578" s="7">
        <v>5.14</v>
      </c>
    </row>
    <row r="1579" spans="1:9" hidden="1" x14ac:dyDescent="0.2">
      <c r="A1579" t="s">
        <v>18</v>
      </c>
      <c r="B1579" s="4" t="s">
        <v>769</v>
      </c>
      <c r="C1579" s="5">
        <v>44055</v>
      </c>
      <c r="D1579" t="s">
        <v>24</v>
      </c>
      <c r="E1579" t="s">
        <v>129</v>
      </c>
      <c r="F1579" t="s">
        <v>16</v>
      </c>
      <c r="G1579" s="6">
        <v>200</v>
      </c>
      <c r="H1579" s="7">
        <v>0.03</v>
      </c>
      <c r="I1579" s="7">
        <v>5.14</v>
      </c>
    </row>
    <row r="1580" spans="1:9" hidden="1" x14ac:dyDescent="0.2">
      <c r="A1580" t="s">
        <v>18</v>
      </c>
      <c r="B1580" s="4" t="s">
        <v>769</v>
      </c>
      <c r="C1580" s="5">
        <v>44055</v>
      </c>
      <c r="D1580" t="s">
        <v>24</v>
      </c>
      <c r="E1580" t="s">
        <v>129</v>
      </c>
      <c r="F1580" t="s">
        <v>16</v>
      </c>
      <c r="G1580" s="6">
        <v>200</v>
      </c>
      <c r="H1580" s="7">
        <v>3.7999999999999999E-2</v>
      </c>
      <c r="I1580" s="7">
        <v>6.5</v>
      </c>
    </row>
    <row r="1581" spans="1:9" hidden="1" x14ac:dyDescent="0.2">
      <c r="A1581" t="s">
        <v>18</v>
      </c>
      <c r="B1581" s="4" t="s">
        <v>769</v>
      </c>
      <c r="C1581" s="5">
        <v>44055</v>
      </c>
      <c r="D1581" t="s">
        <v>35</v>
      </c>
      <c r="E1581" t="s">
        <v>129</v>
      </c>
      <c r="F1581" t="s">
        <v>16</v>
      </c>
      <c r="G1581" s="6">
        <v>200</v>
      </c>
      <c r="H1581" s="7">
        <v>0.127</v>
      </c>
      <c r="I1581" s="7">
        <v>25.36</v>
      </c>
    </row>
    <row r="1582" spans="1:9" hidden="1" x14ac:dyDescent="0.2">
      <c r="A1582" t="s">
        <v>18</v>
      </c>
      <c r="B1582" s="4" t="s">
        <v>769</v>
      </c>
      <c r="C1582" s="5">
        <v>44055</v>
      </c>
      <c r="D1582" t="s">
        <v>81</v>
      </c>
      <c r="E1582" t="s">
        <v>484</v>
      </c>
      <c r="F1582" t="s">
        <v>368</v>
      </c>
      <c r="G1582" s="6">
        <v>23</v>
      </c>
      <c r="H1582" s="7">
        <v>126.78</v>
      </c>
      <c r="I1582" s="7">
        <v>2915.94</v>
      </c>
    </row>
    <row r="1583" spans="1:9" hidden="1" x14ac:dyDescent="0.2">
      <c r="A1583" t="s">
        <v>18</v>
      </c>
      <c r="B1583" s="4" t="s">
        <v>769</v>
      </c>
      <c r="C1583" s="5">
        <v>44055</v>
      </c>
      <c r="D1583" t="s">
        <v>81</v>
      </c>
      <c r="E1583" t="s">
        <v>486</v>
      </c>
      <c r="F1583" t="s">
        <v>368</v>
      </c>
      <c r="G1583" s="6">
        <v>28</v>
      </c>
      <c r="H1583" s="7">
        <v>106.06</v>
      </c>
      <c r="I1583" s="7">
        <v>2969.68</v>
      </c>
    </row>
    <row r="1584" spans="1:9" hidden="1" x14ac:dyDescent="0.2">
      <c r="A1584" t="s">
        <v>18</v>
      </c>
      <c r="B1584" s="4" t="s">
        <v>770</v>
      </c>
      <c r="C1584" s="5">
        <v>44050</v>
      </c>
      <c r="D1584" t="s">
        <v>24</v>
      </c>
      <c r="E1584" t="s">
        <v>669</v>
      </c>
      <c r="F1584" t="s">
        <v>368</v>
      </c>
      <c r="G1584" s="6">
        <v>100</v>
      </c>
      <c r="H1584" s="7">
        <v>0.15</v>
      </c>
      <c r="I1584" s="7">
        <v>12.47</v>
      </c>
    </row>
    <row r="1585" spans="1:9" hidden="1" x14ac:dyDescent="0.2">
      <c r="A1585" t="s">
        <v>18</v>
      </c>
      <c r="B1585" s="4" t="s">
        <v>771</v>
      </c>
      <c r="C1585" s="5">
        <v>44046</v>
      </c>
      <c r="D1585" t="s">
        <v>35</v>
      </c>
      <c r="E1585" t="s">
        <v>123</v>
      </c>
      <c r="F1585" t="s">
        <v>368</v>
      </c>
      <c r="G1585" s="6">
        <v>300</v>
      </c>
      <c r="H1585" s="7">
        <v>0.02</v>
      </c>
      <c r="I1585" s="7">
        <v>4.5</v>
      </c>
    </row>
    <row r="1586" spans="1:9" x14ac:dyDescent="0.2">
      <c r="A1586" t="s">
        <v>18</v>
      </c>
      <c r="B1586" s="4" t="s">
        <v>772</v>
      </c>
      <c r="C1586" s="5">
        <v>44042</v>
      </c>
      <c r="D1586" t="s">
        <v>612</v>
      </c>
      <c r="E1586" t="s">
        <v>756</v>
      </c>
      <c r="F1586" t="s">
        <v>368</v>
      </c>
      <c r="G1586" s="6">
        <v>4</v>
      </c>
      <c r="H1586" s="7" t="s">
        <v>17</v>
      </c>
      <c r="I1586" s="7" t="s">
        <v>17</v>
      </c>
    </row>
    <row r="1587" spans="1:9" x14ac:dyDescent="0.2">
      <c r="A1587" t="s">
        <v>8</v>
      </c>
      <c r="B1587" s="4" t="s">
        <v>772</v>
      </c>
      <c r="C1587" s="5">
        <v>44042</v>
      </c>
      <c r="D1587" t="s">
        <v>612</v>
      </c>
      <c r="E1587" t="s">
        <v>756</v>
      </c>
      <c r="F1587" t="s">
        <v>368</v>
      </c>
      <c r="G1587" s="6">
        <v>4</v>
      </c>
      <c r="H1587" s="7" t="s">
        <v>17</v>
      </c>
      <c r="I1587" s="7" t="s">
        <v>17</v>
      </c>
    </row>
    <row r="1588" spans="1:9" x14ac:dyDescent="0.2">
      <c r="A1588" t="s">
        <v>8</v>
      </c>
      <c r="B1588" s="4" t="s">
        <v>773</v>
      </c>
      <c r="C1588" s="5">
        <v>44041</v>
      </c>
      <c r="D1588" t="s">
        <v>615</v>
      </c>
      <c r="E1588" t="s">
        <v>774</v>
      </c>
      <c r="F1588" t="s">
        <v>368</v>
      </c>
      <c r="G1588" s="6">
        <v>4</v>
      </c>
      <c r="H1588" s="7" t="s">
        <v>17</v>
      </c>
      <c r="I1588" s="7" t="s">
        <v>17</v>
      </c>
    </row>
    <row r="1589" spans="1:9" x14ac:dyDescent="0.2">
      <c r="A1589" t="s">
        <v>8</v>
      </c>
      <c r="B1589" s="4" t="s">
        <v>773</v>
      </c>
      <c r="C1589" s="5">
        <v>44041</v>
      </c>
      <c r="D1589" t="s">
        <v>14</v>
      </c>
      <c r="E1589" t="s">
        <v>774</v>
      </c>
      <c r="F1589" t="s">
        <v>368</v>
      </c>
      <c r="G1589" s="6">
        <v>0</v>
      </c>
      <c r="H1589" s="7" t="s">
        <v>17</v>
      </c>
      <c r="I1589" s="7" t="s">
        <v>17</v>
      </c>
    </row>
    <row r="1590" spans="1:9" x14ac:dyDescent="0.2">
      <c r="A1590" t="s">
        <v>8</v>
      </c>
      <c r="B1590" s="4" t="s">
        <v>775</v>
      </c>
      <c r="C1590" s="5">
        <v>44040</v>
      </c>
      <c r="D1590" t="s">
        <v>614</v>
      </c>
      <c r="E1590" t="s">
        <v>774</v>
      </c>
      <c r="F1590" t="s">
        <v>368</v>
      </c>
      <c r="G1590" s="6">
        <v>4</v>
      </c>
      <c r="H1590" s="7" t="s">
        <v>17</v>
      </c>
      <c r="I1590" s="7" t="s">
        <v>17</v>
      </c>
    </row>
    <row r="1591" spans="1:9" x14ac:dyDescent="0.2">
      <c r="A1591" t="s">
        <v>18</v>
      </c>
      <c r="B1591" s="4" t="s">
        <v>776</v>
      </c>
      <c r="C1591" s="5">
        <v>44028</v>
      </c>
      <c r="D1591" t="s">
        <v>28</v>
      </c>
      <c r="E1591" t="s">
        <v>768</v>
      </c>
      <c r="F1591" t="s">
        <v>368</v>
      </c>
      <c r="G1591" s="6">
        <v>15</v>
      </c>
      <c r="H1591" s="7" t="s">
        <v>17</v>
      </c>
      <c r="I1591" s="7" t="s">
        <v>17</v>
      </c>
    </row>
    <row r="1592" spans="1:9" hidden="1" x14ac:dyDescent="0.2">
      <c r="A1592" t="s">
        <v>18</v>
      </c>
      <c r="B1592" s="4" t="s">
        <v>777</v>
      </c>
      <c r="C1592" s="5">
        <v>44026</v>
      </c>
      <c r="D1592" t="s">
        <v>41</v>
      </c>
      <c r="E1592" t="s">
        <v>665</v>
      </c>
      <c r="F1592" t="s">
        <v>368</v>
      </c>
      <c r="G1592" s="6">
        <v>10</v>
      </c>
      <c r="H1592" s="7">
        <v>0.78</v>
      </c>
      <c r="I1592" s="7">
        <v>7.8</v>
      </c>
    </row>
    <row r="1593" spans="1:9" hidden="1" x14ac:dyDescent="0.2">
      <c r="A1593" t="s">
        <v>18</v>
      </c>
      <c r="B1593" s="4" t="s">
        <v>777</v>
      </c>
      <c r="C1593" s="5">
        <v>44026</v>
      </c>
      <c r="D1593" t="s">
        <v>41</v>
      </c>
      <c r="E1593" t="s">
        <v>510</v>
      </c>
      <c r="F1593" t="s">
        <v>368</v>
      </c>
      <c r="G1593" s="6">
        <v>10</v>
      </c>
      <c r="H1593" s="7">
        <v>0.65</v>
      </c>
      <c r="I1593" s="7">
        <v>6.5</v>
      </c>
    </row>
    <row r="1594" spans="1:9" x14ac:dyDescent="0.2">
      <c r="A1594" t="s">
        <v>18</v>
      </c>
      <c r="B1594" s="4" t="s">
        <v>778</v>
      </c>
      <c r="C1594" s="5">
        <v>44022</v>
      </c>
      <c r="D1594" t="s">
        <v>28</v>
      </c>
      <c r="E1594" t="s">
        <v>774</v>
      </c>
      <c r="F1594" t="s">
        <v>368</v>
      </c>
      <c r="G1594" s="6">
        <v>4</v>
      </c>
      <c r="H1594" s="7" t="s">
        <v>17</v>
      </c>
      <c r="I1594" s="7" t="s">
        <v>17</v>
      </c>
    </row>
    <row r="1595" spans="1:9" hidden="1" x14ac:dyDescent="0.2">
      <c r="A1595" t="s">
        <v>18</v>
      </c>
      <c r="B1595" s="4" t="s">
        <v>779</v>
      </c>
      <c r="C1595" s="5">
        <v>44015</v>
      </c>
      <c r="D1595" t="s">
        <v>35</v>
      </c>
      <c r="E1595" t="s">
        <v>571</v>
      </c>
      <c r="F1595" t="s">
        <v>368</v>
      </c>
      <c r="G1595" s="6">
        <v>200</v>
      </c>
      <c r="H1595" s="7">
        <v>7.0000000000000007E-2</v>
      </c>
      <c r="I1595" s="7">
        <v>13.56</v>
      </c>
    </row>
    <row r="1596" spans="1:9" hidden="1" x14ac:dyDescent="0.2">
      <c r="A1596" t="s">
        <v>18</v>
      </c>
      <c r="B1596" s="4" t="s">
        <v>779</v>
      </c>
      <c r="C1596" s="5">
        <v>44015</v>
      </c>
      <c r="D1596" t="s">
        <v>24</v>
      </c>
      <c r="E1596" t="s">
        <v>571</v>
      </c>
      <c r="F1596" t="s">
        <v>368</v>
      </c>
      <c r="G1596" s="6">
        <v>200</v>
      </c>
      <c r="H1596" s="7">
        <v>0.03</v>
      </c>
      <c r="I1596" s="7">
        <v>4.29</v>
      </c>
    </row>
    <row r="1597" spans="1:9" hidden="1" x14ac:dyDescent="0.2">
      <c r="A1597" t="s">
        <v>18</v>
      </c>
      <c r="B1597" s="4" t="s">
        <v>780</v>
      </c>
      <c r="C1597" s="5">
        <v>44013</v>
      </c>
      <c r="D1597" t="s">
        <v>24</v>
      </c>
      <c r="E1597" t="s">
        <v>44</v>
      </c>
      <c r="F1597" t="s">
        <v>368</v>
      </c>
      <c r="G1597" s="6">
        <v>100</v>
      </c>
      <c r="H1597" s="7">
        <v>0.43</v>
      </c>
      <c r="I1597" s="7">
        <v>36.880000000000003</v>
      </c>
    </row>
    <row r="1598" spans="1:9" hidden="1" x14ac:dyDescent="0.2">
      <c r="A1598" t="s">
        <v>18</v>
      </c>
      <c r="B1598" s="4" t="s">
        <v>780</v>
      </c>
      <c r="C1598" s="5">
        <v>44013</v>
      </c>
      <c r="D1598" t="s">
        <v>35</v>
      </c>
      <c r="E1598" t="s">
        <v>476</v>
      </c>
      <c r="F1598" t="s">
        <v>368</v>
      </c>
      <c r="G1598" s="6">
        <v>300</v>
      </c>
      <c r="H1598" s="7">
        <v>0.02</v>
      </c>
      <c r="I1598" s="7">
        <v>6</v>
      </c>
    </row>
    <row r="1599" spans="1:9" hidden="1" x14ac:dyDescent="0.2">
      <c r="A1599" t="s">
        <v>18</v>
      </c>
      <c r="B1599" s="4" t="s">
        <v>780</v>
      </c>
      <c r="C1599" s="5">
        <v>44013</v>
      </c>
      <c r="D1599" t="s">
        <v>35</v>
      </c>
      <c r="E1599" t="s">
        <v>123</v>
      </c>
      <c r="F1599" t="s">
        <v>368</v>
      </c>
      <c r="G1599" s="6">
        <v>300</v>
      </c>
      <c r="H1599" s="7">
        <v>0.02</v>
      </c>
      <c r="I1599" s="7">
        <v>4.5</v>
      </c>
    </row>
    <row r="1600" spans="1:9" hidden="1" x14ac:dyDescent="0.2">
      <c r="A1600" t="s">
        <v>18</v>
      </c>
      <c r="B1600" s="4" t="s">
        <v>781</v>
      </c>
      <c r="C1600" s="5">
        <v>43997</v>
      </c>
      <c r="D1600" t="s">
        <v>41</v>
      </c>
      <c r="E1600" t="s">
        <v>510</v>
      </c>
      <c r="F1600" t="s">
        <v>368</v>
      </c>
      <c r="G1600" s="6">
        <v>10</v>
      </c>
      <c r="H1600" s="7">
        <v>0.65</v>
      </c>
      <c r="I1600" s="7">
        <v>6.5</v>
      </c>
    </row>
    <row r="1601" spans="1:9" hidden="1" x14ac:dyDescent="0.2">
      <c r="A1601" t="s">
        <v>18</v>
      </c>
      <c r="B1601" s="4" t="s">
        <v>782</v>
      </c>
      <c r="C1601" s="5">
        <v>43994</v>
      </c>
      <c r="D1601" t="s">
        <v>41</v>
      </c>
      <c r="E1601" t="s">
        <v>665</v>
      </c>
      <c r="F1601" t="s">
        <v>368</v>
      </c>
      <c r="G1601" s="6">
        <v>10</v>
      </c>
      <c r="H1601" s="7">
        <v>0.78</v>
      </c>
      <c r="I1601" s="7">
        <v>7.8</v>
      </c>
    </row>
    <row r="1602" spans="1:9" hidden="1" x14ac:dyDescent="0.2">
      <c r="A1602" t="s">
        <v>18</v>
      </c>
      <c r="B1602" s="4" t="s">
        <v>783</v>
      </c>
      <c r="C1602" s="5">
        <v>43983</v>
      </c>
      <c r="D1602" t="s">
        <v>35</v>
      </c>
      <c r="E1602" t="s">
        <v>123</v>
      </c>
      <c r="F1602" t="s">
        <v>368</v>
      </c>
      <c r="G1602" s="6">
        <v>300</v>
      </c>
      <c r="H1602" s="7">
        <v>0.02</v>
      </c>
      <c r="I1602" s="7">
        <v>4.5</v>
      </c>
    </row>
    <row r="1603" spans="1:9" hidden="1" x14ac:dyDescent="0.2">
      <c r="A1603" t="s">
        <v>18</v>
      </c>
      <c r="B1603" s="4" t="s">
        <v>784</v>
      </c>
      <c r="C1603" s="5">
        <v>43966</v>
      </c>
      <c r="D1603" t="s">
        <v>41</v>
      </c>
      <c r="E1603" t="s">
        <v>665</v>
      </c>
      <c r="F1603" t="s">
        <v>368</v>
      </c>
      <c r="G1603" s="6">
        <v>10</v>
      </c>
      <c r="H1603" s="7">
        <v>0.78</v>
      </c>
      <c r="I1603" s="7">
        <v>7.8</v>
      </c>
    </row>
    <row r="1604" spans="1:9" hidden="1" x14ac:dyDescent="0.2">
      <c r="A1604" t="s">
        <v>18</v>
      </c>
      <c r="B1604" s="4" t="s">
        <v>784</v>
      </c>
      <c r="C1604" s="5">
        <v>43966</v>
      </c>
      <c r="D1604" t="s">
        <v>41</v>
      </c>
      <c r="E1604" t="s">
        <v>510</v>
      </c>
      <c r="F1604" t="s">
        <v>368</v>
      </c>
      <c r="G1604" s="6">
        <v>10</v>
      </c>
      <c r="H1604" s="7">
        <v>0.65</v>
      </c>
      <c r="I1604" s="7">
        <v>6.5</v>
      </c>
    </row>
    <row r="1605" spans="1:9" hidden="1" x14ac:dyDescent="0.2">
      <c r="A1605" t="s">
        <v>18</v>
      </c>
      <c r="B1605" s="4" t="s">
        <v>785</v>
      </c>
      <c r="C1605" s="5">
        <v>43958</v>
      </c>
      <c r="D1605" t="s">
        <v>35</v>
      </c>
      <c r="E1605" t="s">
        <v>669</v>
      </c>
      <c r="F1605" t="s">
        <v>368</v>
      </c>
      <c r="G1605" s="6">
        <v>100</v>
      </c>
      <c r="H1605" s="7">
        <v>0.32</v>
      </c>
      <c r="I1605" s="7">
        <v>31.8</v>
      </c>
    </row>
    <row r="1606" spans="1:9" hidden="1" x14ac:dyDescent="0.2">
      <c r="A1606" t="s">
        <v>18</v>
      </c>
      <c r="B1606" s="4" t="s">
        <v>786</v>
      </c>
      <c r="C1606" s="5">
        <v>43955</v>
      </c>
      <c r="D1606" t="s">
        <v>35</v>
      </c>
      <c r="E1606" t="s">
        <v>123</v>
      </c>
      <c r="F1606" t="s">
        <v>368</v>
      </c>
      <c r="G1606" s="6">
        <v>300</v>
      </c>
      <c r="H1606" s="7">
        <v>0.02</v>
      </c>
      <c r="I1606" s="7">
        <v>4.5</v>
      </c>
    </row>
    <row r="1607" spans="1:9" hidden="1" x14ac:dyDescent="0.2">
      <c r="A1607" t="s">
        <v>18</v>
      </c>
      <c r="B1607" s="4" t="s">
        <v>787</v>
      </c>
      <c r="C1607" s="5">
        <v>43936</v>
      </c>
      <c r="D1607" t="s">
        <v>41</v>
      </c>
      <c r="E1607" t="s">
        <v>665</v>
      </c>
      <c r="F1607" t="s">
        <v>368</v>
      </c>
      <c r="G1607" s="6">
        <v>10</v>
      </c>
      <c r="H1607" s="7">
        <v>0.78</v>
      </c>
      <c r="I1607" s="7">
        <v>7.8</v>
      </c>
    </row>
    <row r="1608" spans="1:9" hidden="1" x14ac:dyDescent="0.2">
      <c r="A1608" t="s">
        <v>18</v>
      </c>
      <c r="B1608" s="4" t="s">
        <v>787</v>
      </c>
      <c r="C1608" s="5">
        <v>43936</v>
      </c>
      <c r="D1608" t="s">
        <v>41</v>
      </c>
      <c r="E1608" t="s">
        <v>510</v>
      </c>
      <c r="F1608" t="s">
        <v>368</v>
      </c>
      <c r="G1608" s="6">
        <v>10</v>
      </c>
      <c r="H1608" s="7">
        <v>0.65</v>
      </c>
      <c r="I1608" s="7">
        <v>6.5</v>
      </c>
    </row>
    <row r="1609" spans="1:9" hidden="1" x14ac:dyDescent="0.2">
      <c r="A1609" t="s">
        <v>18</v>
      </c>
      <c r="B1609" s="4" t="s">
        <v>788</v>
      </c>
      <c r="C1609" s="5">
        <v>43928</v>
      </c>
      <c r="D1609" t="s">
        <v>35</v>
      </c>
      <c r="E1609" t="s">
        <v>669</v>
      </c>
      <c r="F1609" t="s">
        <v>368</v>
      </c>
      <c r="G1609" s="6">
        <v>100</v>
      </c>
      <c r="H1609" s="7">
        <v>0.17</v>
      </c>
      <c r="I1609" s="7">
        <v>16.84</v>
      </c>
    </row>
    <row r="1610" spans="1:9" hidden="1" x14ac:dyDescent="0.2">
      <c r="A1610" t="s">
        <v>18</v>
      </c>
      <c r="B1610" s="4" t="s">
        <v>788</v>
      </c>
      <c r="C1610" s="5">
        <v>43928</v>
      </c>
      <c r="D1610" t="s">
        <v>24</v>
      </c>
      <c r="E1610" t="s">
        <v>669</v>
      </c>
      <c r="F1610" t="s">
        <v>368</v>
      </c>
      <c r="G1610" s="6">
        <v>100</v>
      </c>
      <c r="H1610" s="7">
        <v>0.14000000000000001</v>
      </c>
      <c r="I1610" s="7">
        <v>12.19</v>
      </c>
    </row>
    <row r="1611" spans="1:9" hidden="1" x14ac:dyDescent="0.2">
      <c r="A1611" t="s">
        <v>18</v>
      </c>
      <c r="B1611" s="4" t="s">
        <v>788</v>
      </c>
      <c r="C1611" s="5">
        <v>43928</v>
      </c>
      <c r="D1611" t="s">
        <v>81</v>
      </c>
      <c r="E1611" t="s">
        <v>32</v>
      </c>
      <c r="F1611" t="s">
        <v>368</v>
      </c>
      <c r="G1611" s="6">
        <v>200</v>
      </c>
      <c r="H1611" s="7">
        <v>16.34</v>
      </c>
      <c r="I1611" s="7">
        <v>3268</v>
      </c>
    </row>
    <row r="1612" spans="1:9" hidden="1" x14ac:dyDescent="0.2">
      <c r="A1612" t="s">
        <v>18</v>
      </c>
      <c r="B1612" s="4" t="s">
        <v>789</v>
      </c>
      <c r="C1612" s="5">
        <v>43923</v>
      </c>
      <c r="D1612" t="s">
        <v>24</v>
      </c>
      <c r="E1612" t="s">
        <v>571</v>
      </c>
      <c r="F1612" t="s">
        <v>368</v>
      </c>
      <c r="G1612" s="6">
        <v>200</v>
      </c>
      <c r="H1612" s="7">
        <v>0.03</v>
      </c>
      <c r="I1612" s="7">
        <v>4.4400000000000004</v>
      </c>
    </row>
    <row r="1613" spans="1:9" hidden="1" x14ac:dyDescent="0.2">
      <c r="A1613" t="s">
        <v>18</v>
      </c>
      <c r="B1613" s="4" t="s">
        <v>790</v>
      </c>
      <c r="C1613" s="5">
        <v>43922</v>
      </c>
      <c r="D1613" t="s">
        <v>81</v>
      </c>
      <c r="E1613" t="s">
        <v>752</v>
      </c>
      <c r="F1613" t="s">
        <v>368</v>
      </c>
      <c r="G1613" s="6">
        <v>100</v>
      </c>
      <c r="H1613" s="7">
        <v>12.89</v>
      </c>
      <c r="I1613" s="7">
        <v>1289</v>
      </c>
    </row>
    <row r="1614" spans="1:9" hidden="1" x14ac:dyDescent="0.2">
      <c r="A1614" t="s">
        <v>18</v>
      </c>
      <c r="B1614" s="4" t="s">
        <v>790</v>
      </c>
      <c r="C1614" s="5">
        <v>43922</v>
      </c>
      <c r="D1614" t="s">
        <v>35</v>
      </c>
      <c r="E1614" t="s">
        <v>123</v>
      </c>
      <c r="F1614" t="s">
        <v>368</v>
      </c>
      <c r="G1614" s="6">
        <v>100</v>
      </c>
      <c r="H1614" s="7">
        <v>0.02</v>
      </c>
      <c r="I1614" s="7">
        <v>1.5</v>
      </c>
    </row>
    <row r="1615" spans="1:9" hidden="1" x14ac:dyDescent="0.2">
      <c r="A1615" t="s">
        <v>18</v>
      </c>
      <c r="B1615" s="4" t="s">
        <v>790</v>
      </c>
      <c r="C1615" s="5">
        <v>43922</v>
      </c>
      <c r="D1615" t="s">
        <v>81</v>
      </c>
      <c r="E1615" t="s">
        <v>661</v>
      </c>
      <c r="F1615" t="s">
        <v>368</v>
      </c>
      <c r="G1615" s="6">
        <v>100</v>
      </c>
      <c r="H1615" s="7">
        <v>30.5</v>
      </c>
      <c r="I1615" s="7">
        <v>3050</v>
      </c>
    </row>
    <row r="1616" spans="1:9" hidden="1" x14ac:dyDescent="0.2">
      <c r="A1616" t="s">
        <v>18</v>
      </c>
      <c r="B1616" s="4" t="s">
        <v>791</v>
      </c>
      <c r="C1616" s="5">
        <v>43916</v>
      </c>
      <c r="D1616" t="s">
        <v>81</v>
      </c>
      <c r="E1616" t="s">
        <v>792</v>
      </c>
      <c r="F1616" t="s">
        <v>368</v>
      </c>
      <c r="G1616" s="6">
        <v>100</v>
      </c>
      <c r="H1616" s="7">
        <v>16.7</v>
      </c>
      <c r="I1616" s="7">
        <v>1670</v>
      </c>
    </row>
    <row r="1617" spans="1:9" hidden="1" x14ac:dyDescent="0.2">
      <c r="A1617" t="s">
        <v>18</v>
      </c>
      <c r="B1617" s="4" t="s">
        <v>793</v>
      </c>
      <c r="C1617" s="5">
        <v>43908</v>
      </c>
      <c r="D1617" t="s">
        <v>81</v>
      </c>
      <c r="E1617" t="s">
        <v>476</v>
      </c>
      <c r="F1617" t="s">
        <v>368</v>
      </c>
      <c r="G1617" s="6">
        <v>300</v>
      </c>
      <c r="H1617" s="7">
        <v>10.99</v>
      </c>
      <c r="I1617" s="7">
        <v>3297</v>
      </c>
    </row>
    <row r="1618" spans="1:9" hidden="1" x14ac:dyDescent="0.2">
      <c r="A1618" t="s">
        <v>18</v>
      </c>
      <c r="B1618" s="4" t="s">
        <v>794</v>
      </c>
      <c r="C1618" s="5">
        <v>43907</v>
      </c>
      <c r="D1618" t="s">
        <v>81</v>
      </c>
      <c r="E1618" t="s">
        <v>57</v>
      </c>
      <c r="F1618" t="s">
        <v>368</v>
      </c>
      <c r="G1618" s="6">
        <v>100</v>
      </c>
      <c r="H1618" s="7">
        <v>23.1</v>
      </c>
      <c r="I1618" s="7">
        <v>2310</v>
      </c>
    </row>
    <row r="1619" spans="1:9" hidden="1" x14ac:dyDescent="0.2">
      <c r="A1619" t="s">
        <v>18</v>
      </c>
      <c r="B1619" s="4" t="s">
        <v>794</v>
      </c>
      <c r="C1619" s="5">
        <v>43907</v>
      </c>
      <c r="D1619" t="s">
        <v>81</v>
      </c>
      <c r="E1619" t="s">
        <v>665</v>
      </c>
      <c r="F1619" t="s">
        <v>368</v>
      </c>
      <c r="G1619" s="6">
        <v>10</v>
      </c>
      <c r="H1619" s="7">
        <v>155.5</v>
      </c>
      <c r="I1619" s="7">
        <v>1555</v>
      </c>
    </row>
    <row r="1620" spans="1:9" hidden="1" x14ac:dyDescent="0.2">
      <c r="A1620" t="s">
        <v>18</v>
      </c>
      <c r="B1620" s="4" t="s">
        <v>794</v>
      </c>
      <c r="C1620" s="5">
        <v>43907</v>
      </c>
      <c r="D1620" t="s">
        <v>81</v>
      </c>
      <c r="E1620" t="s">
        <v>123</v>
      </c>
      <c r="F1620" t="s">
        <v>368</v>
      </c>
      <c r="G1620" s="6">
        <v>100</v>
      </c>
      <c r="H1620" s="7">
        <v>22.99</v>
      </c>
      <c r="I1620" s="7">
        <v>2299</v>
      </c>
    </row>
    <row r="1621" spans="1:9" hidden="1" x14ac:dyDescent="0.2">
      <c r="A1621" t="s">
        <v>18</v>
      </c>
      <c r="B1621" s="4" t="s">
        <v>794</v>
      </c>
      <c r="C1621" s="5">
        <v>43907</v>
      </c>
      <c r="D1621" t="s">
        <v>81</v>
      </c>
      <c r="E1621" t="s">
        <v>510</v>
      </c>
      <c r="F1621" t="s">
        <v>368</v>
      </c>
      <c r="G1621" s="6">
        <v>10</v>
      </c>
      <c r="H1621" s="7">
        <v>152.97999999999999</v>
      </c>
      <c r="I1621" s="7">
        <v>1529.8</v>
      </c>
    </row>
    <row r="1622" spans="1:9" hidden="1" x14ac:dyDescent="0.2">
      <c r="A1622" t="s">
        <v>18</v>
      </c>
      <c r="B1622" s="4" t="s">
        <v>794</v>
      </c>
      <c r="C1622" s="5">
        <v>43907</v>
      </c>
      <c r="D1622" t="s">
        <v>81</v>
      </c>
      <c r="E1622" t="s">
        <v>172</v>
      </c>
      <c r="F1622" t="s">
        <v>368</v>
      </c>
      <c r="G1622" s="6">
        <v>100</v>
      </c>
      <c r="H1622" s="7">
        <v>36.340000000000003</v>
      </c>
      <c r="I1622" s="7">
        <v>3634</v>
      </c>
    </row>
    <row r="1623" spans="1:9" hidden="1" x14ac:dyDescent="0.2">
      <c r="A1623" t="s">
        <v>18</v>
      </c>
      <c r="B1623" s="4" t="s">
        <v>794</v>
      </c>
      <c r="C1623" s="5">
        <v>43907</v>
      </c>
      <c r="D1623" t="s">
        <v>81</v>
      </c>
      <c r="E1623" t="s">
        <v>571</v>
      </c>
      <c r="F1623" t="s">
        <v>368</v>
      </c>
      <c r="G1623" s="6">
        <v>200</v>
      </c>
      <c r="H1623" s="7">
        <v>13.5</v>
      </c>
      <c r="I1623" s="7">
        <v>2700</v>
      </c>
    </row>
    <row r="1624" spans="1:9" hidden="1" x14ac:dyDescent="0.2">
      <c r="A1624" t="s">
        <v>18</v>
      </c>
      <c r="B1624" s="4" t="s">
        <v>794</v>
      </c>
      <c r="C1624" s="5">
        <v>43907</v>
      </c>
      <c r="D1624" t="s">
        <v>81</v>
      </c>
      <c r="E1624" t="s">
        <v>129</v>
      </c>
      <c r="F1624" t="s">
        <v>368</v>
      </c>
      <c r="G1624" s="6">
        <v>100</v>
      </c>
      <c r="H1624" s="7">
        <v>32.97</v>
      </c>
      <c r="I1624" s="7">
        <v>3297</v>
      </c>
    </row>
    <row r="1625" spans="1:9" hidden="1" x14ac:dyDescent="0.2">
      <c r="A1625" t="s">
        <v>18</v>
      </c>
      <c r="B1625" s="4" t="s">
        <v>795</v>
      </c>
      <c r="C1625" s="5">
        <v>43906</v>
      </c>
      <c r="D1625" t="s">
        <v>81</v>
      </c>
      <c r="E1625" t="s">
        <v>32</v>
      </c>
      <c r="F1625" t="s">
        <v>368</v>
      </c>
      <c r="G1625" s="6">
        <v>1900</v>
      </c>
      <c r="H1625" s="7">
        <v>11.72</v>
      </c>
      <c r="I1625" s="7">
        <v>22285</v>
      </c>
    </row>
    <row r="1626" spans="1:9" hidden="1" x14ac:dyDescent="0.2">
      <c r="A1626" t="s">
        <v>18</v>
      </c>
      <c r="B1626" s="4" t="s">
        <v>796</v>
      </c>
      <c r="C1626" s="5">
        <v>43901</v>
      </c>
      <c r="D1626" t="s">
        <v>81</v>
      </c>
      <c r="E1626" t="s">
        <v>669</v>
      </c>
      <c r="F1626" t="s">
        <v>368</v>
      </c>
      <c r="G1626" s="6">
        <v>100</v>
      </c>
      <c r="H1626" s="7">
        <v>42.6</v>
      </c>
      <c r="I1626" s="7">
        <v>4260</v>
      </c>
    </row>
    <row r="1627" spans="1:9" hidden="1" x14ac:dyDescent="0.2">
      <c r="A1627" t="s">
        <v>18</v>
      </c>
      <c r="B1627" s="4" t="s">
        <v>796</v>
      </c>
      <c r="C1627" s="5">
        <v>43901</v>
      </c>
      <c r="D1627" t="s">
        <v>81</v>
      </c>
      <c r="E1627" t="s">
        <v>44</v>
      </c>
      <c r="F1627" t="s">
        <v>368</v>
      </c>
      <c r="G1627" s="6">
        <v>100</v>
      </c>
      <c r="H1627" s="7">
        <v>45.3</v>
      </c>
      <c r="I1627" s="7">
        <v>4530</v>
      </c>
    </row>
    <row r="1628" spans="1:9" hidden="1" x14ac:dyDescent="0.2">
      <c r="A1628" t="s">
        <v>18</v>
      </c>
      <c r="B1628" s="4" t="s">
        <v>796</v>
      </c>
      <c r="C1628" s="5">
        <v>43901</v>
      </c>
      <c r="D1628" t="s">
        <v>81</v>
      </c>
      <c r="E1628" t="s">
        <v>123</v>
      </c>
      <c r="F1628" t="s">
        <v>368</v>
      </c>
      <c r="G1628" s="6">
        <v>100</v>
      </c>
      <c r="H1628" s="7">
        <v>25.8</v>
      </c>
      <c r="I1628" s="7">
        <v>2580</v>
      </c>
    </row>
    <row r="1629" spans="1:9" hidden="1" x14ac:dyDescent="0.2">
      <c r="A1629" t="s">
        <v>18</v>
      </c>
      <c r="B1629" s="4" t="s">
        <v>796</v>
      </c>
      <c r="C1629" s="5">
        <v>43901</v>
      </c>
      <c r="D1629" t="s">
        <v>81</v>
      </c>
      <c r="E1629" t="s">
        <v>32</v>
      </c>
      <c r="F1629" t="s">
        <v>368</v>
      </c>
      <c r="G1629" s="6">
        <v>200</v>
      </c>
      <c r="H1629" s="7">
        <v>16.77</v>
      </c>
      <c r="I1629" s="7">
        <v>3354</v>
      </c>
    </row>
    <row r="1630" spans="1:9" hidden="1" x14ac:dyDescent="0.2">
      <c r="A1630" t="s">
        <v>18</v>
      </c>
      <c r="B1630" s="4" t="s">
        <v>796</v>
      </c>
      <c r="C1630" s="5">
        <v>43901</v>
      </c>
      <c r="D1630" t="s">
        <v>81</v>
      </c>
      <c r="E1630" t="s">
        <v>129</v>
      </c>
      <c r="F1630" t="s">
        <v>368</v>
      </c>
      <c r="G1630" s="6">
        <v>100</v>
      </c>
      <c r="H1630" s="7">
        <v>41.2</v>
      </c>
      <c r="I1630" s="7">
        <v>4120</v>
      </c>
    </row>
    <row r="1631" spans="1:9" hidden="1" x14ac:dyDescent="0.2">
      <c r="A1631" t="s">
        <v>18</v>
      </c>
      <c r="B1631" s="4" t="s">
        <v>796</v>
      </c>
      <c r="C1631" s="5">
        <v>43901</v>
      </c>
      <c r="D1631" t="s">
        <v>24</v>
      </c>
      <c r="E1631" t="s">
        <v>129</v>
      </c>
      <c r="F1631" t="s">
        <v>16</v>
      </c>
      <c r="G1631" s="6">
        <v>200</v>
      </c>
      <c r="H1631" s="7">
        <v>0.04</v>
      </c>
      <c r="I1631" s="7">
        <v>6.5</v>
      </c>
    </row>
    <row r="1632" spans="1:9" hidden="1" x14ac:dyDescent="0.2">
      <c r="A1632" t="s">
        <v>18</v>
      </c>
      <c r="B1632" s="4" t="s">
        <v>796</v>
      </c>
      <c r="C1632" s="5">
        <v>43901</v>
      </c>
      <c r="D1632" t="s">
        <v>35</v>
      </c>
      <c r="E1632" t="s">
        <v>129</v>
      </c>
      <c r="F1632" t="s">
        <v>16</v>
      </c>
      <c r="G1632" s="6">
        <v>200</v>
      </c>
      <c r="H1632" s="7">
        <v>0.17</v>
      </c>
      <c r="I1632" s="7">
        <v>33.549999999999997</v>
      </c>
    </row>
    <row r="1633" spans="1:9" hidden="1" x14ac:dyDescent="0.2">
      <c r="A1633" t="s">
        <v>18</v>
      </c>
      <c r="B1633" s="4" t="s">
        <v>796</v>
      </c>
      <c r="C1633" s="5">
        <v>43901</v>
      </c>
      <c r="D1633" t="s">
        <v>24</v>
      </c>
      <c r="E1633" t="s">
        <v>129</v>
      </c>
      <c r="F1633" t="s">
        <v>16</v>
      </c>
      <c r="G1633" s="6">
        <v>200</v>
      </c>
      <c r="H1633" s="7">
        <v>0.04</v>
      </c>
      <c r="I1633" s="7">
        <v>6.95</v>
      </c>
    </row>
    <row r="1634" spans="1:9" hidden="1" x14ac:dyDescent="0.2">
      <c r="A1634" t="s">
        <v>18</v>
      </c>
      <c r="B1634" s="4" t="s">
        <v>797</v>
      </c>
      <c r="C1634" s="5">
        <v>43896</v>
      </c>
      <c r="D1634" t="s">
        <v>24</v>
      </c>
      <c r="E1634" t="s">
        <v>123</v>
      </c>
      <c r="F1634" t="s">
        <v>368</v>
      </c>
      <c r="G1634" s="6">
        <v>100</v>
      </c>
      <c r="H1634" s="7">
        <v>0.04</v>
      </c>
      <c r="I1634" s="7">
        <v>3.19</v>
      </c>
    </row>
    <row r="1635" spans="1:9" hidden="1" x14ac:dyDescent="0.2">
      <c r="A1635" t="s">
        <v>18</v>
      </c>
      <c r="B1635" s="4" t="s">
        <v>797</v>
      </c>
      <c r="C1635" s="5">
        <v>43896</v>
      </c>
      <c r="D1635" t="s">
        <v>24</v>
      </c>
      <c r="E1635" t="s">
        <v>123</v>
      </c>
      <c r="F1635" t="s">
        <v>368</v>
      </c>
      <c r="G1635" s="6">
        <v>100</v>
      </c>
      <c r="H1635" s="7">
        <v>0.52</v>
      </c>
      <c r="I1635" s="7">
        <v>44.5</v>
      </c>
    </row>
    <row r="1636" spans="1:9" hidden="1" x14ac:dyDescent="0.2">
      <c r="A1636" t="s">
        <v>18</v>
      </c>
      <c r="B1636" s="4" t="s">
        <v>797</v>
      </c>
      <c r="C1636" s="5">
        <v>43896</v>
      </c>
      <c r="D1636" t="s">
        <v>35</v>
      </c>
      <c r="E1636" t="s">
        <v>123</v>
      </c>
      <c r="F1636" t="s">
        <v>368</v>
      </c>
      <c r="G1636" s="6">
        <v>100</v>
      </c>
      <c r="H1636" s="7">
        <v>0.48</v>
      </c>
      <c r="I1636" s="7">
        <v>48.32</v>
      </c>
    </row>
    <row r="1637" spans="1:9" hidden="1" x14ac:dyDescent="0.2">
      <c r="A1637" t="s">
        <v>18</v>
      </c>
      <c r="B1637" s="4" t="s">
        <v>798</v>
      </c>
      <c r="C1637" s="5">
        <v>43892</v>
      </c>
      <c r="D1637" t="s">
        <v>35</v>
      </c>
      <c r="E1637" t="s">
        <v>123</v>
      </c>
      <c r="F1637" t="s">
        <v>368</v>
      </c>
      <c r="G1637" s="6">
        <v>100</v>
      </c>
      <c r="H1637" s="7">
        <v>0.02</v>
      </c>
      <c r="I1637" s="7">
        <v>1.5</v>
      </c>
    </row>
    <row r="1638" spans="1:9" hidden="1" x14ac:dyDescent="0.2">
      <c r="A1638" t="s">
        <v>18</v>
      </c>
      <c r="B1638" s="4" t="s">
        <v>799</v>
      </c>
      <c r="C1638" s="5">
        <v>43868</v>
      </c>
      <c r="D1638" t="s">
        <v>24</v>
      </c>
      <c r="E1638" t="s">
        <v>32</v>
      </c>
      <c r="F1638" t="s">
        <v>368</v>
      </c>
      <c r="G1638" s="6">
        <v>300</v>
      </c>
      <c r="H1638" s="7">
        <v>0.42</v>
      </c>
      <c r="I1638" s="7">
        <v>107.1</v>
      </c>
    </row>
    <row r="1639" spans="1:9" hidden="1" x14ac:dyDescent="0.2">
      <c r="A1639" t="s">
        <v>18</v>
      </c>
      <c r="B1639" s="4" t="s">
        <v>799</v>
      </c>
      <c r="C1639" s="5">
        <v>43868</v>
      </c>
      <c r="D1639" t="s">
        <v>24</v>
      </c>
      <c r="E1639" t="s">
        <v>32</v>
      </c>
      <c r="F1639" t="s">
        <v>368</v>
      </c>
      <c r="G1639" s="6">
        <v>300</v>
      </c>
      <c r="H1639" s="7">
        <v>0.2</v>
      </c>
      <c r="I1639" s="7">
        <v>51</v>
      </c>
    </row>
    <row r="1640" spans="1:9" hidden="1" x14ac:dyDescent="0.2">
      <c r="A1640" t="s">
        <v>18</v>
      </c>
      <c r="B1640" s="4" t="s">
        <v>799</v>
      </c>
      <c r="C1640" s="5">
        <v>43868</v>
      </c>
      <c r="D1640" t="s">
        <v>41</v>
      </c>
      <c r="E1640" t="s">
        <v>32</v>
      </c>
      <c r="F1640" t="s">
        <v>368</v>
      </c>
      <c r="G1640" s="6">
        <v>300</v>
      </c>
      <c r="H1640" s="7" t="s">
        <v>17</v>
      </c>
      <c r="I1640" s="7">
        <v>0.45</v>
      </c>
    </row>
    <row r="1641" spans="1:9" hidden="1" x14ac:dyDescent="0.2">
      <c r="A1641" t="s">
        <v>18</v>
      </c>
      <c r="B1641" s="4" t="s">
        <v>799</v>
      </c>
      <c r="C1641" s="5">
        <v>43868</v>
      </c>
      <c r="D1641" t="s">
        <v>41</v>
      </c>
      <c r="E1641" t="s">
        <v>32</v>
      </c>
      <c r="F1641" t="s">
        <v>368</v>
      </c>
      <c r="G1641" s="6">
        <v>300</v>
      </c>
      <c r="H1641" s="7" t="s">
        <v>17</v>
      </c>
      <c r="I1641" s="7">
        <v>0.21</v>
      </c>
    </row>
    <row r="1642" spans="1:9" hidden="1" x14ac:dyDescent="0.2">
      <c r="A1642" t="s">
        <v>18</v>
      </c>
      <c r="B1642" s="4" t="s">
        <v>800</v>
      </c>
      <c r="C1642" s="5">
        <v>43864</v>
      </c>
      <c r="D1642" t="s">
        <v>35</v>
      </c>
      <c r="E1642" t="s">
        <v>123</v>
      </c>
      <c r="F1642" t="s">
        <v>368</v>
      </c>
      <c r="G1642" s="6">
        <v>100</v>
      </c>
      <c r="H1642" s="7">
        <v>0.02</v>
      </c>
      <c r="I1642" s="7">
        <v>1.5</v>
      </c>
    </row>
    <row r="1643" spans="1:9" hidden="1" x14ac:dyDescent="0.2">
      <c r="A1643" t="s">
        <v>18</v>
      </c>
      <c r="B1643" s="4" t="s">
        <v>801</v>
      </c>
      <c r="C1643" s="5">
        <v>43859</v>
      </c>
      <c r="D1643" t="s">
        <v>35</v>
      </c>
      <c r="E1643" t="s">
        <v>44</v>
      </c>
      <c r="F1643" t="s">
        <v>802</v>
      </c>
      <c r="G1643" s="6">
        <v>100</v>
      </c>
      <c r="H1643" s="7">
        <v>1.095</v>
      </c>
      <c r="I1643" s="7">
        <v>109.49</v>
      </c>
    </row>
    <row r="1644" spans="1:9" hidden="1" x14ac:dyDescent="0.2">
      <c r="A1644" t="s">
        <v>18</v>
      </c>
      <c r="B1644" s="4" t="s">
        <v>803</v>
      </c>
      <c r="C1644" s="5">
        <v>43832</v>
      </c>
      <c r="D1644" t="s">
        <v>35</v>
      </c>
      <c r="E1644" t="s">
        <v>123</v>
      </c>
      <c r="F1644" t="s">
        <v>368</v>
      </c>
      <c r="G1644" s="6">
        <v>100</v>
      </c>
      <c r="H1644" s="7">
        <v>0.02</v>
      </c>
      <c r="I1644" s="7">
        <v>1.5</v>
      </c>
    </row>
    <row r="1645" spans="1:9" hidden="1" x14ac:dyDescent="0.2">
      <c r="A1645" t="s">
        <v>18</v>
      </c>
      <c r="B1645" s="4" t="s">
        <v>804</v>
      </c>
      <c r="C1645" s="5">
        <v>43801</v>
      </c>
      <c r="D1645" t="s">
        <v>35</v>
      </c>
      <c r="E1645" t="s">
        <v>123</v>
      </c>
      <c r="F1645" t="s">
        <v>368</v>
      </c>
      <c r="G1645" s="6">
        <v>100</v>
      </c>
      <c r="H1645" s="7">
        <v>0.02</v>
      </c>
      <c r="I1645" s="7">
        <v>1.5</v>
      </c>
    </row>
    <row r="1646" spans="1:9" hidden="1" x14ac:dyDescent="0.2">
      <c r="A1646" t="s">
        <v>18</v>
      </c>
      <c r="B1646" s="4" t="s">
        <v>805</v>
      </c>
      <c r="C1646" s="5">
        <v>43770</v>
      </c>
      <c r="D1646" t="s">
        <v>35</v>
      </c>
      <c r="E1646" t="s">
        <v>123</v>
      </c>
      <c r="F1646" t="s">
        <v>368</v>
      </c>
      <c r="G1646" s="6">
        <v>100</v>
      </c>
      <c r="H1646" s="7">
        <v>0.02</v>
      </c>
      <c r="I1646" s="7">
        <v>1.5</v>
      </c>
    </row>
  </sheetData>
  <autoFilter ref="A1:I1646" xr:uid="{00000000-0009-0000-0000-000000000000}">
    <filterColumn colId="3">
      <filters>
        <filter val="Direito de Subscrição"/>
        <filter val="Direitos de Subscrição - Exercido"/>
        <filter val="Direitos de Subscrição - Não Exercido"/>
        <filter val="Recibo de Subscrição"/>
        <filter val="Solicitação de Subscrição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tabSelected="1" zoomScaleNormal="100" workbookViewId="0">
      <selection activeCell="C16" sqref="C16"/>
    </sheetView>
  </sheetViews>
  <sheetFormatPr defaultColWidth="11.5703125" defaultRowHeight="12.75" x14ac:dyDescent="0.2"/>
  <cols>
    <col min="1" max="1" width="41.5703125" customWidth="1"/>
    <col min="3" max="3" width="117.85546875" customWidth="1"/>
  </cols>
  <sheetData>
    <row r="1" spans="1:14" ht="16.5" x14ac:dyDescent="0.3">
      <c r="A1" s="17" t="s">
        <v>2</v>
      </c>
      <c r="B1" t="s">
        <v>806</v>
      </c>
      <c r="C1" t="s">
        <v>807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</row>
    <row r="2" spans="1:14" ht="16.5" x14ac:dyDescent="0.3">
      <c r="A2" s="17"/>
      <c r="F2" s="2" t="s">
        <v>0</v>
      </c>
      <c r="G2" s="2" t="s">
        <v>1</v>
      </c>
      <c r="H2" s="3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 spans="1:14" x14ac:dyDescent="0.2">
      <c r="A3" t="s">
        <v>41</v>
      </c>
      <c r="B3">
        <f>COUNTIF(Movimentação!D:D,A3)</f>
        <v>587</v>
      </c>
      <c r="C3" t="s">
        <v>808</v>
      </c>
      <c r="D3">
        <f>MATCH(A3,Movimentação!D:D,0)</f>
        <v>21</v>
      </c>
      <c r="F3" t="str">
        <f>INDEX(Movimentação!$A:$I,$D3,F$1)</f>
        <v>Credito</v>
      </c>
      <c r="G3" t="str">
        <f>INDEX(Movimentação!$A:$I,$D3,G$1)</f>
        <v>22/05/2026</v>
      </c>
      <c r="H3" s="18">
        <f>INDEX(Movimentação!$A:$I,$D3,H$1)</f>
        <v>46164</v>
      </c>
      <c r="I3" t="str">
        <f>INDEX(Movimentação!$A:$I,$D3,I$1)</f>
        <v>Rendimento</v>
      </c>
      <c r="J3" t="str">
        <f>INDEX(Movimentação!$A:$I,$D3,J$1)</f>
        <v>AFHI11 - AF INVEST CRI FDO. INV. IMOB - RECEBÍVEIS IMOB.</v>
      </c>
      <c r="K3" t="str">
        <f>INDEX(Movimentação!$A:$I,$D3,K$1)</f>
        <v>XP INVESTIMENTOS CCTVM S/A</v>
      </c>
      <c r="L3">
        <f>INDEX(Movimentação!$A:$I,$D3,L$1)</f>
        <v>132</v>
      </c>
      <c r="M3" s="7">
        <f>INDEX(Movimentação!$A:$I,$D3,M$1)</f>
        <v>1.03</v>
      </c>
      <c r="N3" s="7">
        <f>INDEX(Movimentação!$A:$I,$D3,N$1)</f>
        <v>135.96</v>
      </c>
    </row>
    <row r="4" spans="1:14" x14ac:dyDescent="0.2">
      <c r="A4" t="s">
        <v>24</v>
      </c>
      <c r="B4">
        <f>COUNTIF(Movimentação!D:D,A4)</f>
        <v>302</v>
      </c>
      <c r="C4" t="s">
        <v>809</v>
      </c>
      <c r="D4">
        <f>MATCH(A4,Movimentação!D:D,0)</f>
        <v>8</v>
      </c>
      <c r="F4" t="str">
        <f>INDEX(Movimentação!$A:$I,$D4,F$1)</f>
        <v>Credito</v>
      </c>
      <c r="G4" t="str">
        <f>INDEX(Movimentação!$A:$I,$D4,G$1)</f>
        <v>01/06/2026</v>
      </c>
      <c r="H4" s="18">
        <f>INDEX(Movimentação!$A:$I,$D4,H$1)</f>
        <v>46174</v>
      </c>
      <c r="I4" t="str">
        <f>INDEX(Movimentação!$A:$I,$D4,I$1)</f>
        <v>Juros Sobre Capital Próprio</v>
      </c>
      <c r="J4" t="str">
        <f>INDEX(Movimentação!$A:$I,$D4,J$1)</f>
        <v>ITUB3 - ITAU UNIBANCO HOLDING S.A</v>
      </c>
      <c r="K4" t="str">
        <f>INDEX(Movimentação!$A:$I,$D4,K$1)</f>
        <v>XP INVESTIMENTOS CCTVM S/A</v>
      </c>
      <c r="L4">
        <f>INDEX(Movimentação!$A:$I,$D4,L$1)</f>
        <v>526</v>
      </c>
      <c r="M4" s="7">
        <f>INDEX(Movimentação!$A:$I,$D4,M$1)</f>
        <v>1.7999999999999999E-2</v>
      </c>
      <c r="N4" s="7">
        <f>INDEX(Movimentação!$A:$I,$D4,N$1)</f>
        <v>7.89</v>
      </c>
    </row>
    <row r="5" spans="1:14" x14ac:dyDescent="0.2">
      <c r="A5" t="s">
        <v>35</v>
      </c>
      <c r="B5">
        <f>COUNTIF(Movimentação!D:D,A5)</f>
        <v>207</v>
      </c>
      <c r="C5" t="s">
        <v>810</v>
      </c>
      <c r="D5">
        <f>MATCH(A5,Movimentação!D:D,0)</f>
        <v>15</v>
      </c>
      <c r="F5" t="str">
        <f>INDEX(Movimentação!$A:$I,$D5,F$1)</f>
        <v>Credito</v>
      </c>
      <c r="G5" t="str">
        <f>INDEX(Movimentação!$A:$I,$D5,G$1)</f>
        <v>27/05/2026</v>
      </c>
      <c r="H5" s="18">
        <f>INDEX(Movimentação!$A:$I,$D5,H$1)</f>
        <v>46169</v>
      </c>
      <c r="I5" t="str">
        <f>INDEX(Movimentação!$A:$I,$D5,I$1)</f>
        <v>Dividendo</v>
      </c>
      <c r="J5" t="str">
        <f>INDEX(Movimentação!$A:$I,$D5,J$1)</f>
        <v>LEVE3 - MAHLE-METAL LEVE S.A.</v>
      </c>
      <c r="K5" t="str">
        <f>INDEX(Movimentação!$A:$I,$D5,K$1)</f>
        <v>XP INVESTIMENTOS CCTVM S/A</v>
      </c>
      <c r="L5">
        <f>INDEX(Movimentação!$A:$I,$D5,L$1)</f>
        <v>600</v>
      </c>
      <c r="M5" s="7">
        <f>INDEX(Movimentação!$A:$I,$D5,M$1)</f>
        <v>0.253</v>
      </c>
      <c r="N5" s="7">
        <f>INDEX(Movimentação!$A:$I,$D5,N$1)</f>
        <v>152.01</v>
      </c>
    </row>
    <row r="6" spans="1:14" x14ac:dyDescent="0.2">
      <c r="A6" t="s">
        <v>81</v>
      </c>
      <c r="B6">
        <f>COUNTIF(Movimentação!D:D,A6)</f>
        <v>181</v>
      </c>
      <c r="C6" t="s">
        <v>811</v>
      </c>
      <c r="D6">
        <f>MATCH(A6,Movimentação!D:D,0)</f>
        <v>71</v>
      </c>
      <c r="F6" t="str">
        <f>INDEX(Movimentação!$A:$I,$D6,F$1)</f>
        <v>Debito</v>
      </c>
      <c r="G6" t="str">
        <f>INDEX(Movimentação!$A:$I,$D6,G$1)</f>
        <v>25/02/2026</v>
      </c>
      <c r="H6" s="18">
        <f>INDEX(Movimentação!$A:$I,$D6,H$1)</f>
        <v>46078</v>
      </c>
      <c r="I6" t="str">
        <f>INDEX(Movimentação!$A:$I,$D6,I$1)</f>
        <v>Transferência - Liquidação</v>
      </c>
      <c r="J6" t="str">
        <f>INDEX(Movimentação!$A:$I,$D6,J$1)</f>
        <v>VALE3 - VALE S.A.</v>
      </c>
      <c r="K6" t="str">
        <f>INDEX(Movimentação!$A:$I,$D6,K$1)</f>
        <v>XP INVESTIMENTOS CCTVM S/A</v>
      </c>
      <c r="L6">
        <f>INDEX(Movimentação!$A:$I,$D6,L$1)</f>
        <v>200</v>
      </c>
      <c r="M6" s="7">
        <f>INDEX(Movimentação!$A:$I,$D6,M$1)</f>
        <v>87.99</v>
      </c>
      <c r="N6" s="7">
        <f>INDEX(Movimentação!$A:$I,$D6,N$1)</f>
        <v>17598</v>
      </c>
    </row>
    <row r="7" spans="1:14" x14ac:dyDescent="0.2">
      <c r="A7" t="s">
        <v>219</v>
      </c>
      <c r="B7">
        <f>COUNTIF(Movimentação!D:D,A7)</f>
        <v>81</v>
      </c>
      <c r="C7" t="s">
        <v>812</v>
      </c>
      <c r="D7">
        <f>MATCH(A7,Movimentação!D:D,0)</f>
        <v>304</v>
      </c>
      <c r="F7" t="str">
        <f>INDEX(Movimentação!$A:$I,$D7,F$1)</f>
        <v>Credito</v>
      </c>
      <c r="G7" t="str">
        <f>INDEX(Movimentação!$A:$I,$D7,G$1)</f>
        <v>14/02/2025</v>
      </c>
      <c r="H7" s="18">
        <f>INDEX(Movimentação!$A:$I,$D7,H$1)</f>
        <v>45702</v>
      </c>
      <c r="I7" t="str">
        <f>INDEX(Movimentação!$A:$I,$D7,I$1)</f>
        <v>Transferência</v>
      </c>
      <c r="J7" t="str">
        <f>INDEX(Movimentação!$A:$I,$D7,J$1)</f>
        <v>B3SA3 - B3 S.A. - BRASIL, BOLSA, BALCÃO</v>
      </c>
      <c r="K7" t="str">
        <f>INDEX(Movimentação!$A:$I,$D7,K$1)</f>
        <v>XP INVESTIMENTOS CCTVM S/A</v>
      </c>
      <c r="L7">
        <f>INDEX(Movimentação!$A:$I,$D7,L$1)</f>
        <v>700</v>
      </c>
      <c r="M7" s="7" t="str">
        <f>INDEX(Movimentação!$A:$I,$D7,M$1)</f>
        <v>-</v>
      </c>
      <c r="N7" s="7" t="str">
        <f>INDEX(Movimentação!$A:$I,$D7,N$1)</f>
        <v>-</v>
      </c>
    </row>
    <row r="8" spans="1:14" x14ac:dyDescent="0.2">
      <c r="A8" t="s">
        <v>221</v>
      </c>
      <c r="B8">
        <f>COUNTIF(Movimentação!D:D,A8)</f>
        <v>44</v>
      </c>
      <c r="C8" t="s">
        <v>813</v>
      </c>
      <c r="D8">
        <f>MATCH(A8,Movimentação!D:D,0)</f>
        <v>312</v>
      </c>
      <c r="F8" t="str">
        <f>INDEX(Movimentação!$A:$I,$D8,F$1)</f>
        <v>Credito</v>
      </c>
      <c r="G8" t="str">
        <f>INDEX(Movimentação!$A:$I,$D8,G$1)</f>
        <v>14/02/2025</v>
      </c>
      <c r="H8" s="18">
        <f>INDEX(Movimentação!$A:$I,$D8,H$1)</f>
        <v>45702</v>
      </c>
      <c r="I8" t="str">
        <f>INDEX(Movimentação!$A:$I,$D8,I$1)</f>
        <v>Juros Sobre Capital Próprio - Transferido</v>
      </c>
      <c r="J8" t="str">
        <f>INDEX(Movimentação!$A:$I,$D8,J$1)</f>
        <v>ETER3 - ETERNIT S.A.</v>
      </c>
      <c r="K8" t="str">
        <f>INDEX(Movimentação!$A:$I,$D8,K$1)</f>
        <v>XP INVESTIMENTOS CCTVM S/A</v>
      </c>
      <c r="L8">
        <f>INDEX(Movimentação!$A:$I,$D8,L$1)</f>
        <v>500</v>
      </c>
      <c r="M8" s="7">
        <f>INDEX(Movimentação!$A:$I,$D8,M$1)</f>
        <v>5.1999999999999998E-2</v>
      </c>
      <c r="N8" s="7">
        <f>INDEX(Movimentação!$A:$I,$D8,N$1)</f>
        <v>22.11</v>
      </c>
    </row>
    <row r="9" spans="1:14" x14ac:dyDescent="0.2">
      <c r="A9" t="s">
        <v>31</v>
      </c>
      <c r="B9">
        <f>COUNTIF(Movimentação!D:D,A9)</f>
        <v>39</v>
      </c>
      <c r="C9" t="s">
        <v>814</v>
      </c>
      <c r="D9">
        <f>MATCH(A9,Movimentação!D:D,0)</f>
        <v>13</v>
      </c>
      <c r="F9" t="str">
        <f>INDEX(Movimentação!$A:$I,$D9,F$1)</f>
        <v>Credito</v>
      </c>
      <c r="G9" t="str">
        <f>INDEX(Movimentação!$A:$I,$D9,G$1)</f>
        <v>28/05/2026</v>
      </c>
      <c r="H9" s="18">
        <f>INDEX(Movimentação!$A:$I,$D9,H$1)</f>
        <v>46170</v>
      </c>
      <c r="I9" t="str">
        <f>INDEX(Movimentação!$A:$I,$D9,I$1)</f>
        <v>Atualização</v>
      </c>
      <c r="J9" t="str">
        <f>INDEX(Movimentação!$A:$I,$D9,J$1)</f>
        <v>PETR4 - PETROLEO BRASILEIRO S/A PETROBRAS</v>
      </c>
      <c r="K9" t="str">
        <f>INDEX(Movimentação!$A:$I,$D9,K$1)</f>
        <v>XP INVESTIMENTOS CCTVM S/A</v>
      </c>
      <c r="L9">
        <f>INDEX(Movimentação!$A:$I,$D9,L$1)</f>
        <v>600</v>
      </c>
      <c r="M9" s="7" t="str">
        <f>INDEX(Movimentação!$A:$I,$D9,M$1)</f>
        <v>-</v>
      </c>
      <c r="N9" s="7" t="str">
        <f>INDEX(Movimentação!$A:$I,$D9,N$1)</f>
        <v>-</v>
      </c>
    </row>
    <row r="10" spans="1:14" x14ac:dyDescent="0.2">
      <c r="A10" t="s">
        <v>28</v>
      </c>
      <c r="B10">
        <f>COUNTIF(Movimentação!D:D,A10)</f>
        <v>35</v>
      </c>
      <c r="C10" t="s">
        <v>814</v>
      </c>
      <c r="D10">
        <f>MATCH(A10,Movimentação!D:D,0)</f>
        <v>10</v>
      </c>
      <c r="F10" t="str">
        <f>INDEX(Movimentação!$A:$I,$D10,F$1)</f>
        <v>Credito</v>
      </c>
      <c r="G10" t="str">
        <f>INDEX(Movimentação!$A:$I,$D10,G$1)</f>
        <v>29/05/2026</v>
      </c>
      <c r="H10" s="18">
        <f>INDEX(Movimentação!$A:$I,$D10,H$1)</f>
        <v>46171</v>
      </c>
      <c r="I10" t="str">
        <f>INDEX(Movimentação!$A:$I,$D10,I$1)</f>
        <v>Direito de Subscrição</v>
      </c>
      <c r="J10" t="str">
        <f>INDEX(Movimentação!$A:$I,$D10,J$1)</f>
        <v>HGRU12 - PATRIA RENDA URBANA - FUNDO DE INVESTIMENTO IMOBILIARIO - RE</v>
      </c>
      <c r="K10" t="str">
        <f>INDEX(Movimentação!$A:$I,$D10,K$1)</f>
        <v>XP INVESTIMENTOS CCTVM S/A</v>
      </c>
      <c r="L10">
        <f>INDEX(Movimentação!$A:$I,$D10,L$1)</f>
        <v>64</v>
      </c>
      <c r="M10" s="7" t="str">
        <f>INDEX(Movimentação!$A:$I,$D10,M$1)</f>
        <v>-</v>
      </c>
      <c r="N10" s="7" t="str">
        <f>INDEX(Movimentação!$A:$I,$D10,N$1)</f>
        <v>-</v>
      </c>
    </row>
    <row r="11" spans="1:14" x14ac:dyDescent="0.2">
      <c r="A11" t="s">
        <v>14</v>
      </c>
      <c r="B11">
        <f>COUNTIF(Movimentação!D:D,A11)</f>
        <v>34</v>
      </c>
      <c r="C11" t="s">
        <v>814</v>
      </c>
      <c r="D11">
        <f>MATCH(A11,Movimentação!D:D,0)</f>
        <v>3</v>
      </c>
      <c r="F11" t="str">
        <f>INDEX(Movimentação!$A:$I,$D11,F$1)</f>
        <v>Debito</v>
      </c>
      <c r="G11" t="str">
        <f>INDEX(Movimentação!$A:$I,$D11,G$1)</f>
        <v>02/06/2026</v>
      </c>
      <c r="H11" s="18">
        <f>INDEX(Movimentação!$A:$I,$D11,H$1)</f>
        <v>46175</v>
      </c>
      <c r="I11" t="str">
        <f>INDEX(Movimentação!$A:$I,$D11,I$1)</f>
        <v>Direitos de Subscrição - Não Exercido</v>
      </c>
      <c r="J11" t="str">
        <f>INDEX(Movimentação!$A:$I,$D11,J$1)</f>
        <v>AFHI12 - AF INVEST CRI FDO. INV. IMOB - RECEBÍVEIS IMOB.</v>
      </c>
      <c r="K11" t="str">
        <f>INDEX(Movimentação!$A:$I,$D11,K$1)</f>
        <v>XP INVESTIMENTOS CCTVM S/A</v>
      </c>
      <c r="L11">
        <f>INDEX(Movimentação!$A:$I,$D11,L$1)</f>
        <v>0</v>
      </c>
      <c r="M11" s="7" t="str">
        <f>INDEX(Movimentação!$A:$I,$D11,M$1)</f>
        <v>-</v>
      </c>
      <c r="N11" s="7" t="str">
        <f>INDEX(Movimentação!$A:$I,$D11,N$1)</f>
        <v>-</v>
      </c>
    </row>
    <row r="12" spans="1:14" x14ac:dyDescent="0.2">
      <c r="A12" t="s">
        <v>20</v>
      </c>
      <c r="B12">
        <f>COUNTIF(Movimentação!D:D,A12)</f>
        <v>20</v>
      </c>
      <c r="C12" t="s">
        <v>814</v>
      </c>
      <c r="D12">
        <f>MATCH(A12,Movimentação!D:D,0)</f>
        <v>4</v>
      </c>
      <c r="F12" t="str">
        <f>INDEX(Movimentação!$A:$I,$D12,F$1)</f>
        <v>Credito</v>
      </c>
      <c r="G12" t="str">
        <f>INDEX(Movimentação!$A:$I,$D12,G$1)</f>
        <v>01/06/2026</v>
      </c>
      <c r="H12" s="18">
        <f>INDEX(Movimentação!$A:$I,$D12,H$1)</f>
        <v>46174</v>
      </c>
      <c r="I12" t="str">
        <f>INDEX(Movimentação!$A:$I,$D12,I$1)</f>
        <v>Cessão de Direitos</v>
      </c>
      <c r="J12" t="str">
        <f>INDEX(Movimentação!$A:$I,$D12,J$1)</f>
        <v>AFHI12 - AF INVEST CRI FDO. INV. IMOB - RECEBÍVEIS IMOB.</v>
      </c>
      <c r="K12" t="str">
        <f>INDEX(Movimentação!$A:$I,$D12,K$1)</f>
        <v>XP INVESTIMENTOS CCTVM S/A</v>
      </c>
      <c r="L12">
        <f>INDEX(Movimentação!$A:$I,$D12,L$1)</f>
        <v>23</v>
      </c>
      <c r="M12" s="7" t="str">
        <f>INDEX(Movimentação!$A:$I,$D12,M$1)</f>
        <v>-</v>
      </c>
      <c r="N12" s="7" t="str">
        <f>INDEX(Movimentação!$A:$I,$D12,N$1)</f>
        <v>-</v>
      </c>
    </row>
    <row r="13" spans="1:14" x14ac:dyDescent="0.2">
      <c r="A13" t="s">
        <v>21</v>
      </c>
      <c r="B13">
        <f>COUNTIF(Movimentação!D:D,A13)</f>
        <v>20</v>
      </c>
      <c r="C13" t="s">
        <v>814</v>
      </c>
      <c r="D13">
        <f>MATCH(A13,Movimentação!D:D,0)</f>
        <v>5</v>
      </c>
      <c r="F13" t="str">
        <f>INDEX(Movimentação!$A:$I,$D13,F$1)</f>
        <v>Debito</v>
      </c>
      <c r="G13" t="str">
        <f>INDEX(Movimentação!$A:$I,$D13,G$1)</f>
        <v>01/06/2026</v>
      </c>
      <c r="H13" s="18">
        <f>INDEX(Movimentação!$A:$I,$D13,H$1)</f>
        <v>46174</v>
      </c>
      <c r="I13" t="str">
        <f>INDEX(Movimentação!$A:$I,$D13,I$1)</f>
        <v>Cessão de Direitos - Solicitada</v>
      </c>
      <c r="J13" t="str">
        <f>INDEX(Movimentação!$A:$I,$D13,J$1)</f>
        <v>AFHI12 - AF INVEST CRI FDO. INV. IMOB - RECEBÍVEIS IMOB.</v>
      </c>
      <c r="K13" t="str">
        <f>INDEX(Movimentação!$A:$I,$D13,K$1)</f>
        <v>XP INVESTIMENTOS CCTVM S/A</v>
      </c>
      <c r="L13">
        <f>INDEX(Movimentação!$A:$I,$D13,L$1)</f>
        <v>23</v>
      </c>
      <c r="M13" s="7" t="str">
        <f>INDEX(Movimentação!$A:$I,$D13,M$1)</f>
        <v>-</v>
      </c>
      <c r="N13" s="7" t="str">
        <f>INDEX(Movimentação!$A:$I,$D13,N$1)</f>
        <v>-</v>
      </c>
    </row>
    <row r="14" spans="1:14" x14ac:dyDescent="0.2">
      <c r="A14" t="s">
        <v>612</v>
      </c>
      <c r="B14">
        <f>COUNTIF(Movimentação!D:D,A14)</f>
        <v>18</v>
      </c>
      <c r="C14" t="s">
        <v>814</v>
      </c>
      <c r="D14">
        <f>MATCH(A14,Movimentação!D:D,0)</f>
        <v>1240</v>
      </c>
      <c r="F14" t="str">
        <f>INDEX(Movimentação!$A:$I,$D14,F$1)</f>
        <v>Credito</v>
      </c>
      <c r="G14" t="str">
        <f>INDEX(Movimentação!$A:$I,$D14,G$1)</f>
        <v>17/08/2021</v>
      </c>
      <c r="H14" s="18">
        <f>INDEX(Movimentação!$A:$I,$D14,H$1)</f>
        <v>44425</v>
      </c>
      <c r="I14" t="str">
        <f>INDEX(Movimentação!$A:$I,$D14,I$1)</f>
        <v>Recibo de Subscrição</v>
      </c>
      <c r="J14" t="str">
        <f>INDEX(Movimentação!$A:$I,$D14,J$1)</f>
        <v>XPML13 - XP MALLS FDO INV IMOB FII</v>
      </c>
      <c r="K14" t="str">
        <f>INDEX(Movimentação!$A:$I,$D14,K$1)</f>
        <v>MODAL DTVM LTDA</v>
      </c>
      <c r="L14">
        <f>INDEX(Movimentação!$A:$I,$D14,L$1)</f>
        <v>8</v>
      </c>
      <c r="M14" s="7" t="str">
        <f>INDEX(Movimentação!$A:$I,$D14,M$1)</f>
        <v>-</v>
      </c>
      <c r="N14" s="7" t="str">
        <f>INDEX(Movimentação!$A:$I,$D14,N$1)</f>
        <v>-</v>
      </c>
    </row>
    <row r="15" spans="1:14" x14ac:dyDescent="0.2">
      <c r="A15" t="s">
        <v>614</v>
      </c>
      <c r="B15">
        <f>COUNTIF(Movimentação!D:D,A15)</f>
        <v>9</v>
      </c>
      <c r="C15" t="s">
        <v>814</v>
      </c>
      <c r="D15">
        <f>MATCH(A15,Movimentação!D:D,0)</f>
        <v>1243</v>
      </c>
      <c r="F15" t="str">
        <f>INDEX(Movimentação!$A:$I,$D15,F$1)</f>
        <v>Debito</v>
      </c>
      <c r="G15" t="str">
        <f>INDEX(Movimentação!$A:$I,$D15,G$1)</f>
        <v>16/08/2021</v>
      </c>
      <c r="H15" s="18">
        <f>INDEX(Movimentação!$A:$I,$D15,H$1)</f>
        <v>44424</v>
      </c>
      <c r="I15" t="str">
        <f>INDEX(Movimentação!$A:$I,$D15,I$1)</f>
        <v>Solicitação de Subscrição</v>
      </c>
      <c r="J15" t="str">
        <f>INDEX(Movimentação!$A:$I,$D15,J$1)</f>
        <v>XPML12 - XP MALLS FDO INV IMOB FII</v>
      </c>
      <c r="K15" t="str">
        <f>INDEX(Movimentação!$A:$I,$D15,K$1)</f>
        <v>MODAL DTVM LTDA</v>
      </c>
      <c r="L15">
        <f>INDEX(Movimentação!$A:$I,$D15,L$1)</f>
        <v>8</v>
      </c>
      <c r="M15" s="7" t="str">
        <f>INDEX(Movimentação!$A:$I,$D15,M$1)</f>
        <v>-</v>
      </c>
      <c r="N15" s="7" t="str">
        <f>INDEX(Movimentação!$A:$I,$D15,N$1)</f>
        <v>-</v>
      </c>
    </row>
    <row r="16" spans="1:14" x14ac:dyDescent="0.2">
      <c r="A16" t="s">
        <v>615</v>
      </c>
      <c r="B16">
        <f>COUNTIF(Movimentação!D:D,A16)</f>
        <v>9</v>
      </c>
      <c r="C16" t="s">
        <v>814</v>
      </c>
      <c r="D16">
        <f>MATCH(A16,Movimentação!D:D,0)</f>
        <v>1244</v>
      </c>
      <c r="F16" t="str">
        <f>INDEX(Movimentação!$A:$I,$D16,F$1)</f>
        <v>Debito</v>
      </c>
      <c r="G16" t="str">
        <f>INDEX(Movimentação!$A:$I,$D16,G$1)</f>
        <v>16/08/2021</v>
      </c>
      <c r="H16" s="18">
        <f>INDEX(Movimentação!$A:$I,$D16,H$1)</f>
        <v>44424</v>
      </c>
      <c r="I16" t="str">
        <f>INDEX(Movimentação!$A:$I,$D16,I$1)</f>
        <v>Direitos de Subscrição - Exercido</v>
      </c>
      <c r="J16" t="str">
        <f>INDEX(Movimentação!$A:$I,$D16,J$1)</f>
        <v>XPML12 - XP MALLS FDO INV IMOB FII</v>
      </c>
      <c r="K16" t="str">
        <f>INDEX(Movimentação!$A:$I,$D16,K$1)</f>
        <v>MODAL DTVM LTDA</v>
      </c>
      <c r="L16">
        <f>INDEX(Movimentação!$A:$I,$D16,L$1)</f>
        <v>8</v>
      </c>
      <c r="M16" s="7" t="str">
        <f>INDEX(Movimentação!$A:$I,$D16,M$1)</f>
        <v>-</v>
      </c>
      <c r="N16" s="7" t="str">
        <f>INDEX(Movimentação!$A:$I,$D16,N$1)</f>
        <v>-</v>
      </c>
    </row>
    <row r="17" spans="1:14" x14ac:dyDescent="0.2">
      <c r="A17" t="s">
        <v>220</v>
      </c>
      <c r="B17">
        <f>COUNTIF(Movimentação!D:D,A17)</f>
        <v>8</v>
      </c>
      <c r="C17" t="s">
        <v>815</v>
      </c>
      <c r="D17">
        <f>MATCH(A17,Movimentação!D:D,0)</f>
        <v>308</v>
      </c>
      <c r="F17" t="str">
        <f>INDEX(Movimentação!$A:$I,$D17,F$1)</f>
        <v>Credito</v>
      </c>
      <c r="G17" t="str">
        <f>INDEX(Movimentação!$A:$I,$D17,G$1)</f>
        <v>14/02/2025</v>
      </c>
      <c r="H17" s="18">
        <f>INDEX(Movimentação!$A:$I,$D17,H$1)</f>
        <v>45702</v>
      </c>
      <c r="I17" t="str">
        <f>INDEX(Movimentação!$A:$I,$D17,I$1)</f>
        <v>Dividendo - Transferido</v>
      </c>
      <c r="J17" t="str">
        <f>INDEX(Movimentação!$A:$I,$D17,J$1)</f>
        <v>EGIE3 - ENGIE BRASIL ENERGIA S.A.</v>
      </c>
      <c r="K17" t="str">
        <f>INDEX(Movimentação!$A:$I,$D17,K$1)</f>
        <v>XP INVESTIMENTOS CCTVM S/A</v>
      </c>
      <c r="L17">
        <f>INDEX(Movimentação!$A:$I,$D17,L$1)</f>
        <v>300</v>
      </c>
      <c r="M17" s="7">
        <f>INDEX(Movimentação!$A:$I,$D17,M$1)</f>
        <v>1.143</v>
      </c>
      <c r="N17" s="7">
        <f>INDEX(Movimentação!$A:$I,$D17,N$1)</f>
        <v>342.97</v>
      </c>
    </row>
    <row r="18" spans="1:14" x14ac:dyDescent="0.2">
      <c r="A18" t="s">
        <v>111</v>
      </c>
      <c r="B18">
        <f>COUNTIF(Movimentação!D:D,A18)</f>
        <v>7</v>
      </c>
      <c r="C18" t="s">
        <v>816</v>
      </c>
      <c r="D18">
        <f>MATCH(A18,Movimentação!D:D,0)</f>
        <v>120</v>
      </c>
      <c r="F18" t="str">
        <f>INDEX(Movimentação!$A:$I,$D18,F$1)</f>
        <v>Credito</v>
      </c>
      <c r="G18" t="str">
        <f>INDEX(Movimentação!$A:$I,$D18,G$1)</f>
        <v>02/01/2026</v>
      </c>
      <c r="H18" s="18">
        <f>INDEX(Movimentação!$A:$I,$D18,H$1)</f>
        <v>46024</v>
      </c>
      <c r="I18" t="str">
        <f>INDEX(Movimentação!$A:$I,$D18,I$1)</f>
        <v>Bonificação em Ativos</v>
      </c>
      <c r="J18" t="str">
        <f>INDEX(Movimentação!$A:$I,$D18,J$1)</f>
        <v>MGLU3 - MAGAZINE LUIZA S.A.</v>
      </c>
      <c r="K18" t="str">
        <f>INDEX(Movimentação!$A:$I,$D18,K$1)</f>
        <v>XP INVESTIMENTOS CCTVM S/A</v>
      </c>
      <c r="L18">
        <f>INDEX(Movimentação!$A:$I,$D18,L$1)</f>
        <v>5.5</v>
      </c>
      <c r="M18" s="7" t="str">
        <f>INDEX(Movimentação!$A:$I,$D18,M$1)</f>
        <v>-</v>
      </c>
      <c r="N18" s="7" t="str">
        <f>INDEX(Movimentação!$A:$I,$D18,N$1)</f>
        <v>-</v>
      </c>
    </row>
    <row r="19" spans="1:14" x14ac:dyDescent="0.2">
      <c r="A19" t="s">
        <v>225</v>
      </c>
      <c r="B19">
        <f>COUNTIF(Movimentação!D:D,A19)</f>
        <v>6</v>
      </c>
      <c r="C19" t="s">
        <v>812</v>
      </c>
      <c r="D19">
        <f>MATCH(A19,Movimentação!D:D,0)</f>
        <v>379</v>
      </c>
      <c r="F19" t="str">
        <f>INDEX(Movimentação!$A:$I,$D19,F$1)</f>
        <v>Credito</v>
      </c>
      <c r="G19" t="str">
        <f>INDEX(Movimentação!$A:$I,$D19,G$1)</f>
        <v>14/02/2025</v>
      </c>
      <c r="H19" s="18">
        <f>INDEX(Movimentação!$A:$I,$D19,H$1)</f>
        <v>45702</v>
      </c>
      <c r="I19" t="str">
        <f>INDEX(Movimentação!$A:$I,$D19,I$1)</f>
        <v>Transferencia</v>
      </c>
      <c r="J19" t="str">
        <f>INDEX(Movimentação!$A:$I,$D19,J$1)</f>
        <v>Tesouro IPCA+ 2045</v>
      </c>
      <c r="K19" t="str">
        <f>INDEX(Movimentação!$A:$I,$D19,K$1)</f>
        <v>XP INVESTIMENTOS CCTVM S/A</v>
      </c>
      <c r="L19">
        <f>INDEX(Movimentação!$A:$I,$D19,L$1)</f>
        <v>29.27</v>
      </c>
      <c r="M19" s="7" t="str">
        <f>INDEX(Movimentação!$A:$I,$D19,M$1)</f>
        <v>-</v>
      </c>
      <c r="N19" s="7" t="str">
        <f>INDEX(Movimentação!$A:$I,$D19,N$1)</f>
        <v>-</v>
      </c>
    </row>
    <row r="20" spans="1:14" x14ac:dyDescent="0.2">
      <c r="A20" t="s">
        <v>98</v>
      </c>
      <c r="B20">
        <f>COUNTIF(Movimentação!D:D,A20)</f>
        <v>5</v>
      </c>
      <c r="C20" t="s">
        <v>817</v>
      </c>
      <c r="D20">
        <f>MATCH(A20,Movimentação!D:D,0)</f>
        <v>89</v>
      </c>
      <c r="F20" t="str">
        <f>INDEX(Movimentação!$A:$I,$D20,F$1)</f>
        <v>Credito</v>
      </c>
      <c r="G20" t="str">
        <f>INDEX(Movimentação!$A:$I,$D20,G$1)</f>
        <v>28/01/2026</v>
      </c>
      <c r="H20" s="18">
        <f>INDEX(Movimentação!$A:$I,$D20,H$1)</f>
        <v>46050</v>
      </c>
      <c r="I20" t="str">
        <f>INDEX(Movimentação!$A:$I,$D20,I$1)</f>
        <v>Compra</v>
      </c>
      <c r="J20" t="str">
        <f>INDEX(Movimentação!$A:$I,$D20,J$1)</f>
        <v>Tesouro IPCA+ 2050</v>
      </c>
      <c r="K20" t="str">
        <f>INDEX(Movimentação!$A:$I,$D20,K$1)</f>
        <v>INTER DISTRIBUIDORA DE TITULOS E VALORES MOBILIARIOS LTDA</v>
      </c>
      <c r="L20">
        <f>INDEX(Movimentação!$A:$I,$D20,L$1)</f>
        <v>25.37</v>
      </c>
      <c r="M20" s="7">
        <f>INDEX(Movimentação!$A:$I,$D20,M$1)</f>
        <v>906.25</v>
      </c>
      <c r="N20" s="7">
        <f>INDEX(Movimentação!$A:$I,$D20,N$1)</f>
        <v>22991.82</v>
      </c>
    </row>
    <row r="21" spans="1:14" x14ac:dyDescent="0.2">
      <c r="A21" t="s">
        <v>309</v>
      </c>
      <c r="B21">
        <f>COUNTIF(Movimentação!D:D,A21)</f>
        <v>5</v>
      </c>
      <c r="C21" t="s">
        <v>818</v>
      </c>
      <c r="D21">
        <f>MATCH(A21,Movimentação!D:D,0)</f>
        <v>524</v>
      </c>
      <c r="F21" t="str">
        <f>INDEX(Movimentação!$A:$I,$D21,F$1)</f>
        <v>Credito</v>
      </c>
      <c r="G21" t="str">
        <f>INDEX(Movimentação!$A:$I,$D21,G$1)</f>
        <v>17/04/2024</v>
      </c>
      <c r="H21" s="18">
        <f>INDEX(Movimentação!$A:$I,$D21,H$1)</f>
        <v>45399</v>
      </c>
      <c r="I21" t="str">
        <f>INDEX(Movimentação!$A:$I,$D21,I$1)</f>
        <v>Desdobro</v>
      </c>
      <c r="J21" t="str">
        <f>INDEX(Movimentação!$A:$I,$D21,J$1)</f>
        <v>BBAS3 - BANCO DO BRASIL S/A</v>
      </c>
      <c r="K21" t="str">
        <f>INDEX(Movimentação!$A:$I,$D21,K$1)</f>
        <v>CLEAR CORRETORA - GRUPO XP</v>
      </c>
      <c r="L21">
        <f>INDEX(Movimentação!$A:$I,$D21,L$1)</f>
        <v>300</v>
      </c>
      <c r="M21" s="7" t="str">
        <f>INDEX(Movimentação!$A:$I,$D21,M$1)</f>
        <v>-</v>
      </c>
      <c r="N21" s="7" t="str">
        <f>INDEX(Movimentação!$A:$I,$D21,N$1)</f>
        <v>-</v>
      </c>
    </row>
    <row r="22" spans="1:14" x14ac:dyDescent="0.2">
      <c r="A22" t="s">
        <v>67</v>
      </c>
      <c r="B22">
        <f>COUNTIF(Movimentação!D:D,A22)</f>
        <v>4</v>
      </c>
      <c r="C22" t="s">
        <v>819</v>
      </c>
      <c r="D22">
        <f>MATCH(A22,Movimentação!D:D,0)</f>
        <v>45</v>
      </c>
      <c r="F22" t="str">
        <f>INDEX(Movimentação!$A:$I,$D22,F$1)</f>
        <v>Credito</v>
      </c>
      <c r="G22" t="str">
        <f>INDEX(Movimentação!$A:$I,$D22,G$1)</f>
        <v>25/03/2026</v>
      </c>
      <c r="H22" s="18">
        <f>INDEX(Movimentação!$A:$I,$D22,H$1)</f>
        <v>46106</v>
      </c>
      <c r="I22" t="str">
        <f>INDEX(Movimentação!$A:$I,$D22,I$1)</f>
        <v>Leilão de Fração</v>
      </c>
      <c r="J22" t="str">
        <f>INDEX(Movimentação!$A:$I,$D22,J$1)</f>
        <v>MGLU3 - MAGAZINE LUIZA S.A.</v>
      </c>
      <c r="K22" t="str">
        <f>INDEX(Movimentação!$A:$I,$D22,K$1)</f>
        <v>XP INVESTIMENTOS CCTVM S/A</v>
      </c>
      <c r="L22">
        <f>INDEX(Movimentação!$A:$I,$D22,L$1)</f>
        <v>0.5</v>
      </c>
      <c r="M22" s="7">
        <f>INDEX(Movimentação!$A:$I,$D22,M$1)</f>
        <v>9.1470000000000002</v>
      </c>
      <c r="N22" s="7">
        <f>INDEX(Movimentação!$A:$I,$D22,N$1)</f>
        <v>4.57</v>
      </c>
    </row>
    <row r="23" spans="1:14" x14ac:dyDescent="0.2">
      <c r="A23" t="s">
        <v>93</v>
      </c>
      <c r="B23">
        <f>COUNTIF(Movimentação!D:D,A23)</f>
        <v>4</v>
      </c>
      <c r="C23" t="s">
        <v>820</v>
      </c>
      <c r="D23">
        <f>MATCH(A23,Movimentação!D:D,0)</f>
        <v>83</v>
      </c>
      <c r="F23" t="str">
        <f>INDEX(Movimentação!$A:$I,$D23,F$1)</f>
        <v>Debito</v>
      </c>
      <c r="G23" t="str">
        <f>INDEX(Movimentação!$A:$I,$D23,G$1)</f>
        <v>09/02/2026</v>
      </c>
      <c r="H23" s="18">
        <f>INDEX(Movimentação!$A:$I,$D23,H$1)</f>
        <v>46062</v>
      </c>
      <c r="I23" t="str">
        <f>INDEX(Movimentação!$A:$I,$D23,I$1)</f>
        <v>Fração em Ativos</v>
      </c>
      <c r="J23" t="str">
        <f>INDEX(Movimentação!$A:$I,$D23,J$1)</f>
        <v>MGLU3 - MAGAZINE LUIZA S.A.</v>
      </c>
      <c r="K23" t="str">
        <f>INDEX(Movimentação!$A:$I,$D23,K$1)</f>
        <v>XP INVESTIMENTOS CCTVM S/A</v>
      </c>
      <c r="L23">
        <f>INDEX(Movimentação!$A:$I,$D23,L$1)</f>
        <v>0.5</v>
      </c>
      <c r="M23" s="7" t="str">
        <f>INDEX(Movimentação!$A:$I,$D23,M$1)</f>
        <v>-</v>
      </c>
      <c r="N23" s="7" t="str">
        <f>INDEX(Movimentação!$A:$I,$D23,N$1)</f>
        <v>-</v>
      </c>
    </row>
    <row r="24" spans="1:14" x14ac:dyDescent="0.2">
      <c r="A24" t="s">
        <v>224</v>
      </c>
      <c r="B24">
        <f>COUNTIF(Movimentação!D:D,A24)</f>
        <v>4</v>
      </c>
      <c r="C24" t="s">
        <v>821</v>
      </c>
      <c r="D24">
        <f>MATCH(A24,Movimentação!D:D,0)</f>
        <v>347</v>
      </c>
      <c r="F24" t="str">
        <f>INDEX(Movimentação!$A:$I,$D24,F$1)</f>
        <v>Credito</v>
      </c>
      <c r="G24" t="str">
        <f>INDEX(Movimentação!$A:$I,$D24,G$1)</f>
        <v>14/02/2025</v>
      </c>
      <c r="H24" s="18">
        <f>INDEX(Movimentação!$A:$I,$D24,H$1)</f>
        <v>45702</v>
      </c>
      <c r="I24" t="str">
        <f>INDEX(Movimentação!$A:$I,$D24,I$1)</f>
        <v>Rendimento - Transferido</v>
      </c>
      <c r="J24" t="str">
        <f>INDEX(Movimentação!$A:$I,$D24,J$1)</f>
        <v>IRDM11 - FII IRIDIUM RECEBÍVEIS IMOBILIÁRIOS</v>
      </c>
      <c r="K24" t="str">
        <f>INDEX(Movimentação!$A:$I,$D24,K$1)</f>
        <v>XP INVESTIMENTOS CCTVM S/A</v>
      </c>
      <c r="L24">
        <f>INDEX(Movimentação!$A:$I,$D24,L$1)</f>
        <v>187</v>
      </c>
      <c r="M24" s="7">
        <f>INDEX(Movimentação!$A:$I,$D24,M$1)</f>
        <v>0.75</v>
      </c>
      <c r="N24" s="7">
        <f>INDEX(Movimentação!$A:$I,$D24,N$1)</f>
        <v>140.25</v>
      </c>
    </row>
    <row r="25" spans="1:14" x14ac:dyDescent="0.2">
      <c r="A25" t="s">
        <v>287</v>
      </c>
      <c r="B25">
        <f>COUNTIF(Movimentação!D:D,A25)</f>
        <v>4</v>
      </c>
      <c r="C25" t="s">
        <v>822</v>
      </c>
      <c r="D25">
        <f>MATCH(A25,Movimentação!D:D,0)</f>
        <v>490</v>
      </c>
      <c r="F25" t="str">
        <f>INDEX(Movimentação!$A:$I,$D25,F$1)</f>
        <v>Debito</v>
      </c>
      <c r="G25" t="str">
        <f>INDEX(Movimentação!$A:$I,$D25,G$1)</f>
        <v>01/07/2024</v>
      </c>
      <c r="H25" s="18">
        <f>INDEX(Movimentação!$A:$I,$D25,H$1)</f>
        <v>45474</v>
      </c>
      <c r="I25" t="str">
        <f>INDEX(Movimentação!$A:$I,$D25,I$1)</f>
        <v>Cobrança de Taxa Semestral</v>
      </c>
      <c r="J25" t="str">
        <f>INDEX(Movimentação!$A:$I,$D25,J$1)</f>
        <v>Tesouro IPCA+ 2045</v>
      </c>
      <c r="K25" t="str">
        <f>INDEX(Movimentação!$A:$I,$D25,K$1)</f>
        <v>CLEAR CORRETORA - GRUPO XP</v>
      </c>
      <c r="L25">
        <f>INDEX(Movimentação!$A:$I,$D25,L$1)</f>
        <v>0</v>
      </c>
      <c r="M25" s="7" t="str">
        <f>INDEX(Movimentação!$A:$I,$D25,M$1)</f>
        <v>-</v>
      </c>
      <c r="N25" s="7">
        <f>INDEX(Movimentação!$A:$I,$D25,N$1)</f>
        <v>12.31</v>
      </c>
    </row>
    <row r="26" spans="1:14" x14ac:dyDescent="0.2">
      <c r="A26" t="s">
        <v>10</v>
      </c>
      <c r="B26">
        <f>COUNTIF(Movimentação!D:D,A26)</f>
        <v>2</v>
      </c>
      <c r="C26" t="s">
        <v>823</v>
      </c>
      <c r="D26">
        <f>MATCH(A26,Movimentação!D:D,0)</f>
        <v>2</v>
      </c>
      <c r="F26" t="str">
        <f>INDEX(Movimentação!$A:$I,$D26,F$1)</f>
        <v>Debito</v>
      </c>
      <c r="G26" t="str">
        <f>INDEX(Movimentação!$A:$I,$D26,G$1)</f>
        <v>05/06/2026</v>
      </c>
      <c r="H26" s="18">
        <f>INDEX(Movimentação!$A:$I,$D26,H$1)</f>
        <v>46178</v>
      </c>
      <c r="I26" t="str">
        <f>INDEX(Movimentação!$A:$I,$D26,I$1)</f>
        <v>RESGATE ANTECIPADO/</v>
      </c>
      <c r="J26" t="str">
        <f>INDEX(Movimentação!$A:$I,$D26,J$1)</f>
        <v>CDB - CDB526CSFDK - BANCO DO BRASIL S/A</v>
      </c>
      <c r="K26" t="str">
        <f>INDEX(Movimentação!$A:$I,$D26,K$1)</f>
        <v>BANCO DO BRASIL S/A</v>
      </c>
      <c r="L26">
        <f>INDEX(Movimentação!$A:$I,$D26,L$1)</f>
        <v>8000</v>
      </c>
      <c r="M26" s="7">
        <f>INDEX(Movimentação!$A:$I,$D26,M$1)</f>
        <v>1.000064E-2</v>
      </c>
      <c r="N26" s="7">
        <f>INDEX(Movimentação!$A:$I,$D26,N$1)</f>
        <v>80.010000000000005</v>
      </c>
    </row>
    <row r="27" spans="1:14" x14ac:dyDescent="0.2">
      <c r="A27" t="s">
        <v>22</v>
      </c>
      <c r="B27">
        <f>COUNTIF(Movimentação!D:D,A27)</f>
        <v>2</v>
      </c>
      <c r="C27" t="s">
        <v>824</v>
      </c>
      <c r="D27">
        <f>MATCH(A27,Movimentação!D:D,0)</f>
        <v>7</v>
      </c>
      <c r="F27" t="str">
        <f>INDEX(Movimentação!$A:$I,$D27,F$1)</f>
        <v>Credito</v>
      </c>
      <c r="G27" t="str">
        <f>INDEX(Movimentação!$A:$I,$D27,G$1)</f>
        <v>01/06/2026</v>
      </c>
      <c r="H27" s="18">
        <f>INDEX(Movimentação!$A:$I,$D27,H$1)</f>
        <v>46174</v>
      </c>
      <c r="I27" t="str">
        <f>INDEX(Movimentação!$A:$I,$D27,I$1)</f>
        <v>APLICAÇÃO</v>
      </c>
      <c r="J27" t="str">
        <f>INDEX(Movimentação!$A:$I,$D27,J$1)</f>
        <v>CDB - CDB6260FY9K</v>
      </c>
      <c r="K27" t="str">
        <f>INDEX(Movimentação!$A:$I,$D27,K$1)</f>
        <v>BANCO DO BRASIL S/A</v>
      </c>
      <c r="L27">
        <f>INDEX(Movimentação!$A:$I,$D27,L$1)</f>
        <v>2404334</v>
      </c>
      <c r="M27" s="7">
        <f>INDEX(Movimentação!$A:$I,$D27,M$1)</f>
        <v>0.01</v>
      </c>
      <c r="N27" s="7">
        <f>INDEX(Movimentação!$A:$I,$D27,N$1)</f>
        <v>24043.34</v>
      </c>
    </row>
    <row r="28" spans="1:14" x14ac:dyDescent="0.2">
      <c r="A28" t="s">
        <v>588</v>
      </c>
      <c r="B28">
        <f>COUNTIF(Movimentação!D:D,A28)</f>
        <v>2</v>
      </c>
      <c r="C28" t="s">
        <v>814</v>
      </c>
      <c r="D28">
        <f>MATCH(A28,Movimentação!D:D,0)</f>
        <v>1188</v>
      </c>
      <c r="F28" t="str">
        <f>INDEX(Movimentação!$A:$I,$D28,F$1)</f>
        <v>Credito</v>
      </c>
      <c r="G28" t="str">
        <f>INDEX(Movimentação!$A:$I,$D28,G$1)</f>
        <v>05/10/2021</v>
      </c>
      <c r="H28" s="18">
        <f>INDEX(Movimentação!$A:$I,$D28,H$1)</f>
        <v>44474</v>
      </c>
      <c r="I28" t="str">
        <f>INDEX(Movimentação!$A:$I,$D28,I$1)</f>
        <v>Cisão</v>
      </c>
      <c r="J28" t="str">
        <f>INDEX(Movimentação!$A:$I,$D28,J$1)</f>
        <v>ITUB3 - ITAU UNIBANCO HOLDING S/A</v>
      </c>
      <c r="K28" t="str">
        <f>INDEX(Movimentação!$A:$I,$D28,K$1)</f>
        <v>MODAL DTVM LTDA</v>
      </c>
      <c r="L28">
        <f>INDEX(Movimentação!$A:$I,$D28,L$1)</f>
        <v>300</v>
      </c>
      <c r="M28" s="7" t="str">
        <f>INDEX(Movimentação!$A:$I,$D28,M$1)</f>
        <v>-</v>
      </c>
      <c r="N28" s="7" t="str">
        <f>INDEX(Movimentação!$A:$I,$D28,N$1)</f>
        <v>-</v>
      </c>
    </row>
    <row r="29" spans="1:14" x14ac:dyDescent="0.2">
      <c r="A29" t="s">
        <v>86</v>
      </c>
      <c r="B29">
        <f>COUNTIF(Movimentação!D:D,A29)</f>
        <v>1</v>
      </c>
      <c r="C29" t="s">
        <v>825</v>
      </c>
      <c r="D29">
        <f>MATCH(A29,Movimentação!D:D,0)</f>
        <v>76</v>
      </c>
      <c r="F29" t="str">
        <f>INDEX(Movimentação!$A:$I,$D29,F$1)</f>
        <v>Credito</v>
      </c>
      <c r="G29" t="str">
        <f>INDEX(Movimentação!$A:$I,$D29,G$1)</f>
        <v>18/02/2026</v>
      </c>
      <c r="H29" s="18">
        <f>INDEX(Movimentação!$A:$I,$D29,H$1)</f>
        <v>46071</v>
      </c>
      <c r="I29" t="str">
        <f>INDEX(Movimentação!$A:$I,$D29,I$1)</f>
        <v>PAGAMENTO DE JUROS</v>
      </c>
      <c r="J29" t="str">
        <f>INDEX(Movimentação!$A:$I,$D29,J$1)</f>
        <v>CRI - 22B0004808 - RIZA SECURITIZADORA S.A.</v>
      </c>
      <c r="K29" t="str">
        <f>INDEX(Movimentação!$A:$I,$D29,K$1)</f>
        <v>INTER DISTRIBUIDORA DE TITULOS E VALORES MOBILIARIOS LTDA</v>
      </c>
      <c r="L29">
        <f>INDEX(Movimentação!$A:$I,$D29,L$1)</f>
        <v>7</v>
      </c>
      <c r="M29" s="7">
        <f>INDEX(Movimentação!$A:$I,$D29,M$1)</f>
        <v>38.340000000000003</v>
      </c>
      <c r="N29" s="7">
        <f>INDEX(Movimentação!$A:$I,$D29,N$1)</f>
        <v>268.38</v>
      </c>
    </row>
    <row r="30" spans="1:14" x14ac:dyDescent="0.2">
      <c r="A30" t="s">
        <v>117</v>
      </c>
      <c r="B30">
        <f>COUNTIF(Movimentação!D:D,A30)</f>
        <v>1</v>
      </c>
      <c r="C30" t="s">
        <v>826</v>
      </c>
      <c r="D30">
        <f>MATCH(A30,Movimentação!D:D,0)</f>
        <v>137</v>
      </c>
      <c r="F30" t="str">
        <f>INDEX(Movimentação!$A:$I,$D30,F$1)</f>
        <v>Credito</v>
      </c>
      <c r="G30" t="str">
        <f>INDEX(Movimentação!$A:$I,$D30,G$1)</f>
        <v>26/12/2025</v>
      </c>
      <c r="H30" s="18">
        <f>INDEX(Movimentação!$A:$I,$D30,H$1)</f>
        <v>46017</v>
      </c>
      <c r="I30" t="str">
        <f>INDEX(Movimentação!$A:$I,$D30,I$1)</f>
        <v>COMPRA / VENDA</v>
      </c>
      <c r="J30" t="str">
        <f>INDEX(Movimentação!$A:$I,$D30,J$1)</f>
        <v>CDB - CDB3257NOQI - BANCO BMG S/A</v>
      </c>
      <c r="K30" t="str">
        <f>INDEX(Movimentação!$A:$I,$D30,K$1)</f>
        <v>INTER DISTRIBUIDORA DE TITULOS E VALORES MOBILIARIOS LTDA</v>
      </c>
      <c r="L30">
        <f>INDEX(Movimentação!$A:$I,$D30,L$1)</f>
        <v>9180</v>
      </c>
      <c r="M30" s="7">
        <f>INDEX(Movimentação!$A:$I,$D30,M$1)</f>
        <v>1.08</v>
      </c>
      <c r="N30" s="7">
        <f>INDEX(Movimentação!$A:$I,$D30,N$1)</f>
        <v>9999.43</v>
      </c>
    </row>
    <row r="31" spans="1:14" x14ac:dyDescent="0.2">
      <c r="A31" t="s">
        <v>119</v>
      </c>
      <c r="B31">
        <f>COUNTIF(Movimentação!D:D,A31)</f>
        <v>1</v>
      </c>
      <c r="C31" t="s">
        <v>826</v>
      </c>
      <c r="D31">
        <f>MATCH(A31,Movimentação!D:D,0)</f>
        <v>138</v>
      </c>
      <c r="F31" t="str">
        <f>INDEX(Movimentação!$A:$I,$D31,F$1)</f>
        <v>Credito</v>
      </c>
      <c r="G31" t="str">
        <f>INDEX(Movimentação!$A:$I,$D31,G$1)</f>
        <v>26/12/2025</v>
      </c>
      <c r="H31" s="18">
        <f>INDEX(Movimentação!$A:$I,$D31,H$1)</f>
        <v>46017</v>
      </c>
      <c r="I31" t="str">
        <f>INDEX(Movimentação!$A:$I,$D31,I$1)</f>
        <v>COMPRA/VENDA</v>
      </c>
      <c r="J31" t="str">
        <f>INDEX(Movimentação!$A:$I,$D31,J$1)</f>
        <v>CRI - 22B0004808 - RIZA SECURITIZADORA S.A.</v>
      </c>
      <c r="K31" t="str">
        <f>INDEX(Movimentação!$A:$I,$D31,K$1)</f>
        <v>INTER DISTRIBUIDORA DE TITULOS E VALORES MOBILIARIOS LTDA</v>
      </c>
      <c r="L31">
        <f>INDEX(Movimentação!$A:$I,$D31,L$1)</f>
        <v>7</v>
      </c>
      <c r="M31" s="7">
        <f>INDEX(Movimentação!$A:$I,$D31,M$1)</f>
        <v>1048.6400000000001</v>
      </c>
      <c r="N31" s="7">
        <f>INDEX(Movimentação!$A:$I,$D31,N$1)</f>
        <v>7340.53</v>
      </c>
    </row>
    <row r="32" spans="1:14" x14ac:dyDescent="0.2">
      <c r="A32" t="s">
        <v>132</v>
      </c>
      <c r="B32">
        <f>COUNTIF(Movimentação!D:D,A32)</f>
        <v>1</v>
      </c>
      <c r="C32" t="s">
        <v>827</v>
      </c>
      <c r="D32">
        <f>MATCH(A32,Movimentação!D:D,0)</f>
        <v>168</v>
      </c>
      <c r="F32" t="str">
        <f>INDEX(Movimentação!$A:$I,$D32,F$1)</f>
        <v>Credito</v>
      </c>
      <c r="G32" t="str">
        <f>INDEX(Movimentação!$A:$I,$D32,G$1)</f>
        <v>09/12/2025</v>
      </c>
      <c r="H32" s="18">
        <f>INDEX(Movimentação!$A:$I,$D32,H$1)</f>
        <v>46000</v>
      </c>
      <c r="I32" t="str">
        <f>INDEX(Movimentação!$A:$I,$D32,I$1)</f>
        <v>Resgate</v>
      </c>
      <c r="J32" t="str">
        <f>INDEX(Movimentação!$A:$I,$D32,J$1)</f>
        <v>IRDM11 - FII IRIDIUM RECEBÍVEIS IMOBILIÁRIOS</v>
      </c>
      <c r="K32" t="str">
        <f>INDEX(Movimentação!$A:$I,$D32,K$1)</f>
        <v>XP INVESTIMENTOS CCTVM S/A</v>
      </c>
      <c r="L32">
        <f>INDEX(Movimentação!$A:$I,$D32,L$1)</f>
        <v>187</v>
      </c>
      <c r="M32" s="7">
        <f>INDEX(Movimentação!$A:$I,$D32,M$1)</f>
        <v>4.306</v>
      </c>
      <c r="N32" s="7">
        <f>INDEX(Movimentação!$A:$I,$D32,N$1)</f>
        <v>17.84</v>
      </c>
    </row>
    <row r="33" spans="1:14" x14ac:dyDescent="0.2">
      <c r="A33" t="s">
        <v>301</v>
      </c>
      <c r="B33">
        <f>COUNTIF(Movimentação!D:D,A33)</f>
        <v>1</v>
      </c>
      <c r="C33" t="s">
        <v>828</v>
      </c>
      <c r="D33">
        <f>MATCH(A33,Movimentação!D:D,0)</f>
        <v>509</v>
      </c>
      <c r="F33" t="str">
        <f>INDEX(Movimentação!$A:$I,$D33,F$1)</f>
        <v>Credito</v>
      </c>
      <c r="G33" t="str">
        <f>INDEX(Movimentação!$A:$I,$D33,G$1)</f>
        <v>28/05/2024</v>
      </c>
      <c r="H33" s="18">
        <f>INDEX(Movimentação!$A:$I,$D33,H$1)</f>
        <v>45440</v>
      </c>
      <c r="I33" t="str">
        <f>INDEX(Movimentação!$A:$I,$D33,I$1)</f>
        <v>Grupamento</v>
      </c>
      <c r="J33" t="str">
        <f>INDEX(Movimentação!$A:$I,$D33,J$1)</f>
        <v>MGLU3 - MAGAZINE LUIZA S/A</v>
      </c>
      <c r="K33" t="str">
        <f>INDEX(Movimentação!$A:$I,$D33,K$1)</f>
        <v>CLEAR CORRETORA - GRUPO XP</v>
      </c>
      <c r="L33">
        <f>INDEX(Movimentação!$A:$I,$D33,L$1)</f>
        <v>110</v>
      </c>
      <c r="M33" s="7" t="str">
        <f>INDEX(Movimentação!$A:$I,$D33,M$1)</f>
        <v>-</v>
      </c>
      <c r="N33" s="7" t="str">
        <f>INDEX(Movimentação!$A:$I,$D33,N$1)</f>
        <v>-</v>
      </c>
    </row>
    <row r="34" spans="1:14" x14ac:dyDescent="0.2">
      <c r="A34" t="s">
        <v>590</v>
      </c>
      <c r="B34">
        <f>COUNTIF(Movimentação!D:D,A34)</f>
        <v>1</v>
      </c>
      <c r="C34" t="s">
        <v>814</v>
      </c>
      <c r="D34">
        <f>MATCH(A34,Movimentação!D:D,0)</f>
        <v>1190</v>
      </c>
      <c r="F34" t="str">
        <f>INDEX(Movimentação!$A:$I,$D34,F$1)</f>
        <v>Credito</v>
      </c>
      <c r="G34" t="str">
        <f>INDEX(Movimentação!$A:$I,$D34,G$1)</f>
        <v>05/10/2021</v>
      </c>
      <c r="H34" s="18">
        <f>INDEX(Movimentação!$A:$I,$D34,H$1)</f>
        <v>44474</v>
      </c>
      <c r="I34" t="str">
        <f>INDEX(Movimentação!$A:$I,$D34,I$1)</f>
        <v>Incorporação</v>
      </c>
      <c r="J34" t="str">
        <f>INDEX(Movimentação!$A:$I,$D34,J$1)</f>
        <v>XPBR31 - XP INC.</v>
      </c>
      <c r="K34" t="str">
        <f>INDEX(Movimentação!$A:$I,$D34,K$1)</f>
        <v>MODAL DTVM LTDA</v>
      </c>
      <c r="L34">
        <f>INDEX(Movimentação!$A:$I,$D34,L$1)</f>
        <v>6.92</v>
      </c>
      <c r="M34" s="7" t="str">
        <f>INDEX(Movimentação!$A:$I,$D34,M$1)</f>
        <v>-</v>
      </c>
      <c r="N34" s="7" t="str">
        <f>INDEX(Movimentação!$A:$I,$D34,N$1)</f>
        <v>-</v>
      </c>
    </row>
  </sheetData>
  <autoFilter ref="A1:B34" xr:uid="{00000000-0009-0000-0000-000001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Movimentação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dc:description/>
  <cp:lastModifiedBy>Gabriel Barros Rodrigues</cp:lastModifiedBy>
  <cp:revision>3</cp:revision>
  <dcterms:created xsi:type="dcterms:W3CDTF">2026-06-07T21:25:17Z</dcterms:created>
  <dcterms:modified xsi:type="dcterms:W3CDTF">2026-06-14T11:40:45Z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